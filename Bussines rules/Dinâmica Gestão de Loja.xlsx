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ursos - Treinamentos - Palestras\Dinâmica Gestão de Loja\"/>
    </mc:Choice>
  </mc:AlternateContent>
  <xr:revisionPtr revIDLastSave="0" documentId="13_ncr:1_{FEB5BD56-2D85-4091-A4E1-E2FC2DD78A4B}" xr6:coauthVersionLast="47" xr6:coauthVersionMax="47" xr10:uidLastSave="{00000000-0000-0000-0000-000000000000}"/>
  <bookViews>
    <workbookView xWindow="28680" yWindow="-120" windowWidth="19440" windowHeight="14880" tabRatio="801" xr2:uid="{700F50E6-CDC6-44A4-B0B4-DE6904EA44FF}"/>
  </bookViews>
  <sheets>
    <sheet name="Rodada 1 de Venda" sheetId="2" r:id="rId1"/>
    <sheet name="Demais Rodadas de Venda" sheetId="3" r:id="rId2"/>
    <sheet name="Bretas" sheetId="1" r:id="rId3"/>
    <sheet name="GBarbosa" sheetId="7" r:id="rId4"/>
    <sheet name="Prezunic" sheetId="8" r:id="rId5"/>
    <sheet name="Giga" sheetId="9" r:id="rId6"/>
    <sheet name="Dados de apoio" sheetId="4" r:id="rId7"/>
    <sheet name="Resumo" sheetId="6" r:id="rId8"/>
    <sheet name="Dados para o Wor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9" i="3" s="1"/>
  <c r="E30" i="3" s="1"/>
  <c r="D28" i="3"/>
  <c r="D29" i="3" s="1"/>
  <c r="D30" i="3" s="1"/>
  <c r="C28" i="3"/>
  <c r="C29" i="3" s="1"/>
  <c r="C30" i="3" s="1"/>
  <c r="B28" i="3"/>
  <c r="K19" i="7"/>
  <c r="K18" i="7"/>
  <c r="K17" i="7"/>
  <c r="K27" i="7" s="1"/>
  <c r="K16" i="7"/>
  <c r="R26" i="10"/>
  <c r="R25" i="10"/>
  <c r="R24" i="10"/>
  <c r="R23" i="10"/>
  <c r="R27" i="10"/>
  <c r="Q27" i="10"/>
  <c r="Q26" i="10"/>
  <c r="Q25" i="10"/>
  <c r="Q24" i="10"/>
  <c r="Q23" i="10"/>
  <c r="K35" i="10"/>
  <c r="J44" i="10"/>
  <c r="I44" i="10"/>
  <c r="H44" i="10"/>
  <c r="G44" i="10"/>
  <c r="K31" i="10"/>
  <c r="J7" i="4"/>
  <c r="B29" i="3" l="1"/>
  <c r="B30" i="3" s="1"/>
  <c r="J27" i="10"/>
  <c r="I27" i="10"/>
  <c r="H27" i="10"/>
  <c r="G27" i="10"/>
  <c r="J21" i="10"/>
  <c r="I21" i="10"/>
  <c r="H21" i="10"/>
  <c r="G21" i="10"/>
  <c r="K17" i="10"/>
  <c r="H10" i="10"/>
  <c r="C84" i="6"/>
  <c r="K26" i="9"/>
  <c r="J26" i="9"/>
  <c r="K25" i="9"/>
  <c r="J25" i="9"/>
  <c r="K26" i="8"/>
  <c r="J26" i="8"/>
  <c r="K25" i="8"/>
  <c r="J25" i="8"/>
  <c r="L27" i="7"/>
  <c r="K26" i="7"/>
  <c r="J26" i="7"/>
  <c r="K25" i="7"/>
  <c r="J25" i="7"/>
  <c r="K26" i="1"/>
  <c r="K25" i="1"/>
  <c r="J26" i="1"/>
  <c r="J25" i="1"/>
  <c r="B16" i="4"/>
  <c r="L25" i="7" l="1"/>
  <c r="L25" i="9"/>
  <c r="L26" i="9"/>
  <c r="L25" i="8"/>
  <c r="L26" i="8"/>
  <c r="L26" i="7"/>
  <c r="L25" i="1"/>
  <c r="K19" i="10"/>
  <c r="K21" i="10" s="1"/>
  <c r="L26" i="1"/>
  <c r="K7" i="4"/>
  <c r="I7" i="4"/>
  <c r="H7" i="4"/>
  <c r="C23" i="3" l="1"/>
  <c r="E3" i="6"/>
  <c r="G3" i="6" s="1"/>
  <c r="C3" i="6"/>
  <c r="G39" i="3"/>
  <c r="G30" i="3"/>
  <c r="G22" i="3"/>
  <c r="F22" i="3"/>
  <c r="G14" i="3"/>
  <c r="G14" i="2"/>
  <c r="I84" i="6"/>
  <c r="G84" i="6"/>
  <c r="E29" i="9"/>
  <c r="D29" i="9"/>
  <c r="C29" i="9"/>
  <c r="B29" i="9"/>
  <c r="F22" i="9"/>
  <c r="K19" i="9"/>
  <c r="L19" i="9" s="1"/>
  <c r="K18" i="9"/>
  <c r="L18" i="9" s="1"/>
  <c r="K17" i="9"/>
  <c r="K16" i="9"/>
  <c r="L16" i="9" s="1"/>
  <c r="I86" i="6"/>
  <c r="K14" i="9"/>
  <c r="E12" i="9"/>
  <c r="D12" i="9"/>
  <c r="C12" i="9"/>
  <c r="B12" i="9"/>
  <c r="E7" i="9"/>
  <c r="E8" i="9" s="1"/>
  <c r="D7" i="9"/>
  <c r="D8" i="9" s="1"/>
  <c r="C7" i="9"/>
  <c r="C8" i="9" s="1"/>
  <c r="B7" i="9"/>
  <c r="J5" i="9"/>
  <c r="I11" i="6" s="1"/>
  <c r="I17" i="6" s="1"/>
  <c r="J4" i="9"/>
  <c r="E4" i="9"/>
  <c r="E5" i="9" s="1"/>
  <c r="D4" i="9"/>
  <c r="D5" i="9" s="1"/>
  <c r="C4" i="9"/>
  <c r="C5" i="9" s="1"/>
  <c r="B4" i="9"/>
  <c r="B23" i="9" s="1"/>
  <c r="F3" i="9"/>
  <c r="N1" i="9"/>
  <c r="E23" i="3"/>
  <c r="D23" i="3"/>
  <c r="B23" i="3"/>
  <c r="K15" i="4"/>
  <c r="E34" i="3" s="1"/>
  <c r="J15" i="4"/>
  <c r="D34" i="3" s="1"/>
  <c r="I15" i="4"/>
  <c r="C34" i="3" s="1"/>
  <c r="K19" i="4"/>
  <c r="E17" i="3" s="1"/>
  <c r="J19" i="4"/>
  <c r="D17" i="3" s="1"/>
  <c r="I19" i="4"/>
  <c r="C17" i="3" s="1"/>
  <c r="K14" i="4"/>
  <c r="E9" i="3" s="1"/>
  <c r="J14" i="4"/>
  <c r="D9" i="3" s="1"/>
  <c r="I14" i="4"/>
  <c r="C9" i="3" s="1"/>
  <c r="K13" i="4"/>
  <c r="J13" i="4"/>
  <c r="I13" i="4"/>
  <c r="H15" i="4"/>
  <c r="B34" i="3" s="1"/>
  <c r="H19" i="4"/>
  <c r="B17" i="3" s="1"/>
  <c r="H14" i="4"/>
  <c r="B9" i="3" s="1"/>
  <c r="H13" i="4"/>
  <c r="F16" i="4"/>
  <c r="E84" i="6"/>
  <c r="E29" i="8"/>
  <c r="D29" i="8"/>
  <c r="C29" i="8"/>
  <c r="B29" i="8"/>
  <c r="F22" i="8"/>
  <c r="K19" i="8"/>
  <c r="L19" i="8" s="1"/>
  <c r="K18" i="8"/>
  <c r="L18" i="8" s="1"/>
  <c r="K17" i="8"/>
  <c r="K16" i="8"/>
  <c r="L16" i="8" s="1"/>
  <c r="K15" i="8"/>
  <c r="K14" i="8"/>
  <c r="E12" i="8"/>
  <c r="D12" i="8"/>
  <c r="C12" i="8"/>
  <c r="B12" i="8"/>
  <c r="E7" i="8"/>
  <c r="E8" i="8" s="1"/>
  <c r="D7" i="8"/>
  <c r="D8" i="8" s="1"/>
  <c r="C7" i="8"/>
  <c r="C8" i="8" s="1"/>
  <c r="B7" i="8"/>
  <c r="B8" i="8" s="1"/>
  <c r="J5" i="8"/>
  <c r="G11" i="6" s="1"/>
  <c r="G17" i="6" s="1"/>
  <c r="J4" i="8"/>
  <c r="E4" i="8"/>
  <c r="E23" i="8" s="1"/>
  <c r="D4" i="8"/>
  <c r="C4" i="8"/>
  <c r="C5" i="8" s="1"/>
  <c r="B4" i="8"/>
  <c r="B23" i="8" s="1"/>
  <c r="F3" i="8"/>
  <c r="N1" i="8"/>
  <c r="E29" i="7"/>
  <c r="D29" i="7"/>
  <c r="C29" i="7"/>
  <c r="B29" i="7"/>
  <c r="F22" i="7"/>
  <c r="L19" i="7"/>
  <c r="L18" i="7"/>
  <c r="L17" i="7"/>
  <c r="L16" i="7"/>
  <c r="K15" i="7"/>
  <c r="K14" i="7"/>
  <c r="E12" i="7"/>
  <c r="D12" i="7"/>
  <c r="C12" i="7"/>
  <c r="B12" i="7"/>
  <c r="E7" i="7"/>
  <c r="E8" i="7" s="1"/>
  <c r="D7" i="7"/>
  <c r="D8" i="7" s="1"/>
  <c r="C7" i="7"/>
  <c r="C8" i="7" s="1"/>
  <c r="B7" i="7"/>
  <c r="J5" i="7"/>
  <c r="D3" i="3" s="1"/>
  <c r="J4" i="7"/>
  <c r="E4" i="7"/>
  <c r="E23" i="7" s="1"/>
  <c r="D4" i="7"/>
  <c r="D23" i="7" s="1"/>
  <c r="C4" i="7"/>
  <c r="C23" i="7" s="1"/>
  <c r="B4" i="7"/>
  <c r="B5" i="7" s="1"/>
  <c r="F3" i="7"/>
  <c r="N1" i="7"/>
  <c r="K19" i="1"/>
  <c r="L19" i="1" s="1"/>
  <c r="K18" i="1"/>
  <c r="L18" i="1" s="1"/>
  <c r="K17" i="1"/>
  <c r="K16" i="1"/>
  <c r="L16" i="1" s="1"/>
  <c r="N1" i="1"/>
  <c r="J4" i="1"/>
  <c r="J5" i="1"/>
  <c r="D2" i="3" s="1"/>
  <c r="K15" i="1"/>
  <c r="K14" i="1"/>
  <c r="F22" i="1"/>
  <c r="C8" i="4"/>
  <c r="K9" i="4"/>
  <c r="J9" i="4"/>
  <c r="I9" i="4"/>
  <c r="H9" i="4"/>
  <c r="G29" i="3"/>
  <c r="G28" i="3"/>
  <c r="G27" i="3"/>
  <c r="E29" i="1"/>
  <c r="D29" i="1"/>
  <c r="C29" i="1"/>
  <c r="B29" i="1"/>
  <c r="E12" i="1"/>
  <c r="D12" i="1"/>
  <c r="C12" i="1"/>
  <c r="B12" i="1"/>
  <c r="E4" i="1"/>
  <c r="E23" i="1" s="1"/>
  <c r="D4" i="1"/>
  <c r="D23" i="1" s="1"/>
  <c r="C4" i="1"/>
  <c r="C23" i="1" s="1"/>
  <c r="B4" i="1"/>
  <c r="B23" i="1" s="1"/>
  <c r="E7" i="1"/>
  <c r="E8" i="1" s="1"/>
  <c r="D7" i="1"/>
  <c r="D8" i="1" s="1"/>
  <c r="C7" i="1"/>
  <c r="C8" i="1" s="1"/>
  <c r="B7" i="1"/>
  <c r="L4" i="4"/>
  <c r="F3" i="1"/>
  <c r="L17" i="9" l="1"/>
  <c r="K27" i="9"/>
  <c r="L27" i="9" s="1"/>
  <c r="L14" i="9"/>
  <c r="K28" i="9"/>
  <c r="L28" i="9" s="1"/>
  <c r="L15" i="8"/>
  <c r="G86" i="6"/>
  <c r="L17" i="8"/>
  <c r="K27" i="8"/>
  <c r="L27" i="8" s="1"/>
  <c r="L14" i="8"/>
  <c r="K28" i="8"/>
  <c r="L28" i="8" s="1"/>
  <c r="L15" i="7"/>
  <c r="E86" i="6"/>
  <c r="L14" i="7"/>
  <c r="K28" i="7"/>
  <c r="L28" i="7" s="1"/>
  <c r="L29" i="7" s="1"/>
  <c r="E90" i="6" s="1"/>
  <c r="L17" i="1"/>
  <c r="K27" i="1"/>
  <c r="L27" i="1" s="1"/>
  <c r="L14" i="1"/>
  <c r="K28" i="1"/>
  <c r="L28" i="1" s="1"/>
  <c r="L15" i="1"/>
  <c r="C86" i="6"/>
  <c r="L9" i="4"/>
  <c r="C31" i="9"/>
  <c r="C23" i="9"/>
  <c r="D23" i="9"/>
  <c r="D14" i="9"/>
  <c r="C14" i="9"/>
  <c r="I16" i="4"/>
  <c r="J16" i="4"/>
  <c r="K16" i="4"/>
  <c r="L19" i="4"/>
  <c r="I54" i="6"/>
  <c r="L15" i="9"/>
  <c r="B23" i="7"/>
  <c r="F23" i="7" s="1"/>
  <c r="C54" i="6"/>
  <c r="D4" i="3"/>
  <c r="G54" i="6"/>
  <c r="D4" i="2"/>
  <c r="E54" i="6"/>
  <c r="D31" i="9"/>
  <c r="B5" i="9"/>
  <c r="F5" i="9" s="1"/>
  <c r="F7" i="9"/>
  <c r="F8" i="9" s="1"/>
  <c r="J10" i="9" s="1"/>
  <c r="E23" i="9"/>
  <c r="E14" i="7"/>
  <c r="B31" i="9"/>
  <c r="C11" i="6"/>
  <c r="C17" i="6" s="1"/>
  <c r="E14" i="9"/>
  <c r="D5" i="3"/>
  <c r="B8" i="9"/>
  <c r="E31" i="9"/>
  <c r="E5" i="7"/>
  <c r="L14" i="4"/>
  <c r="E11" i="6"/>
  <c r="E17" i="6" s="1"/>
  <c r="L15" i="4"/>
  <c r="I3" i="6"/>
  <c r="D5" i="2"/>
  <c r="B14" i="9"/>
  <c r="C9" i="2"/>
  <c r="D9" i="2"/>
  <c r="E9" i="2"/>
  <c r="F23" i="3"/>
  <c r="D3" i="2"/>
  <c r="L13" i="4"/>
  <c r="B9" i="2"/>
  <c r="H16" i="4"/>
  <c r="B31" i="8"/>
  <c r="B14" i="8"/>
  <c r="D31" i="8"/>
  <c r="E31" i="8"/>
  <c r="B5" i="8"/>
  <c r="F7" i="7"/>
  <c r="F8" i="7" s="1"/>
  <c r="J10" i="7" s="1"/>
  <c r="D5" i="8"/>
  <c r="E5" i="8"/>
  <c r="C31" i="7"/>
  <c r="D31" i="7"/>
  <c r="C5" i="7"/>
  <c r="E31" i="7"/>
  <c r="D5" i="7"/>
  <c r="C23" i="8"/>
  <c r="D23" i="8"/>
  <c r="F7" i="8"/>
  <c r="F8" i="8" s="1"/>
  <c r="J10" i="8" s="1"/>
  <c r="E14" i="8"/>
  <c r="C14" i="8"/>
  <c r="C31" i="8"/>
  <c r="D14" i="8"/>
  <c r="B31" i="7"/>
  <c r="B8" i="7"/>
  <c r="C14" i="7"/>
  <c r="B14" i="7"/>
  <c r="D14" i="7"/>
  <c r="B5" i="1"/>
  <c r="F23" i="1"/>
  <c r="E14" i="1"/>
  <c r="B31" i="1"/>
  <c r="C31" i="1"/>
  <c r="D31" i="1"/>
  <c r="D14" i="1"/>
  <c r="E31" i="1"/>
  <c r="C14" i="1"/>
  <c r="B14" i="1"/>
  <c r="F7" i="1"/>
  <c r="F8" i="1" s="1"/>
  <c r="J10" i="1" s="1"/>
  <c r="C9" i="6" s="1"/>
  <c r="B8" i="1"/>
  <c r="L29" i="1" l="1"/>
  <c r="C90" i="6" s="1"/>
  <c r="L20" i="7"/>
  <c r="N3" i="7" s="1"/>
  <c r="E5" i="6" s="1"/>
  <c r="L20" i="8"/>
  <c r="N3" i="8" s="1"/>
  <c r="G5" i="6" s="1"/>
  <c r="L20" i="9"/>
  <c r="N3" i="9" s="1"/>
  <c r="I5" i="6" s="1"/>
  <c r="L29" i="9"/>
  <c r="I90" i="6" s="1"/>
  <c r="L29" i="8"/>
  <c r="G90" i="6" s="1"/>
  <c r="F23" i="9"/>
  <c r="N2" i="9" s="1"/>
  <c r="O2" i="3"/>
  <c r="O3" i="3"/>
  <c r="O4" i="3"/>
  <c r="L16" i="4"/>
  <c r="K11" i="9"/>
  <c r="B5" i="3" s="1"/>
  <c r="J11" i="9"/>
  <c r="I10" i="6" s="1"/>
  <c r="C5" i="3"/>
  <c r="C5" i="2"/>
  <c r="I9" i="6"/>
  <c r="F5" i="8"/>
  <c r="C4" i="2"/>
  <c r="G9" i="6"/>
  <c r="F5" i="7"/>
  <c r="N2" i="7" s="1"/>
  <c r="E4" i="6" s="1"/>
  <c r="C3" i="2"/>
  <c r="E9" i="6"/>
  <c r="K11" i="8"/>
  <c r="J11" i="8"/>
  <c r="F23" i="8"/>
  <c r="J11" i="7"/>
  <c r="K11" i="7"/>
  <c r="J11" i="1"/>
  <c r="C10" i="6" s="1"/>
  <c r="K11" i="1"/>
  <c r="E6" i="6" l="1"/>
  <c r="I5" i="3"/>
  <c r="I2" i="3"/>
  <c r="N2" i="8"/>
  <c r="N4" i="8" s="1"/>
  <c r="G88" i="6" s="1"/>
  <c r="I4" i="3"/>
  <c r="I16" i="6"/>
  <c r="I3" i="3"/>
  <c r="B5" i="2"/>
  <c r="N4" i="9"/>
  <c r="I4" i="6"/>
  <c r="I6" i="6" s="1"/>
  <c r="B2" i="3"/>
  <c r="C16" i="6"/>
  <c r="B3" i="3"/>
  <c r="E16" i="6"/>
  <c r="B3" i="2"/>
  <c r="E10" i="6"/>
  <c r="B4" i="2"/>
  <c r="G10" i="6"/>
  <c r="B4" i="3"/>
  <c r="G16" i="6"/>
  <c r="N4" i="7"/>
  <c r="N5" i="7" s="1"/>
  <c r="D2" i="2"/>
  <c r="C2" i="2"/>
  <c r="G21" i="3"/>
  <c r="G20" i="3"/>
  <c r="G19" i="3"/>
  <c r="F21" i="3"/>
  <c r="F20" i="3"/>
  <c r="F19" i="3"/>
  <c r="G38" i="3"/>
  <c r="G37" i="3"/>
  <c r="G36" i="3"/>
  <c r="F34" i="3"/>
  <c r="F9" i="3"/>
  <c r="F9" i="2"/>
  <c r="G13" i="3"/>
  <c r="G12" i="3"/>
  <c r="G11" i="3"/>
  <c r="G13" i="2"/>
  <c r="G12" i="2"/>
  <c r="G11" i="2"/>
  <c r="E5" i="1"/>
  <c r="D5" i="1"/>
  <c r="C5" i="1"/>
  <c r="G4" i="6" l="1"/>
  <c r="G6" i="6" s="1"/>
  <c r="M4" i="3"/>
  <c r="N4" i="2"/>
  <c r="O4" i="2"/>
  <c r="M2" i="3"/>
  <c r="M3" i="3"/>
  <c r="N5" i="8"/>
  <c r="E88" i="6"/>
  <c r="O3" i="2"/>
  <c r="O2" i="2"/>
  <c r="I2" i="2" s="1"/>
  <c r="I88" i="6"/>
  <c r="N5" i="9"/>
  <c r="N2" i="2"/>
  <c r="N3" i="2"/>
  <c r="B2" i="2"/>
  <c r="L20" i="1"/>
  <c r="N3" i="1" s="1"/>
  <c r="C5" i="6" s="1"/>
  <c r="F17" i="3"/>
  <c r="G5" i="3" l="1"/>
  <c r="G4" i="3"/>
  <c r="G2" i="3"/>
  <c r="G3" i="3"/>
  <c r="M4" i="2"/>
  <c r="H5" i="2"/>
  <c r="H4" i="2"/>
  <c r="H3" i="2"/>
  <c r="H2" i="2"/>
  <c r="I5" i="2"/>
  <c r="I4" i="2"/>
  <c r="I3" i="2"/>
  <c r="M3" i="2"/>
  <c r="M2" i="2"/>
  <c r="B59" i="8" l="1"/>
  <c r="E59" i="1"/>
  <c r="D59" i="1"/>
  <c r="B59" i="1"/>
  <c r="E59" i="7"/>
  <c r="D59" i="7"/>
  <c r="C59" i="7"/>
  <c r="B59" i="7"/>
  <c r="E59" i="8"/>
  <c r="D59" i="8"/>
  <c r="C59" i="8"/>
  <c r="C59" i="1"/>
  <c r="C59" i="9"/>
  <c r="E59" i="9"/>
  <c r="D59" i="9"/>
  <c r="B59" i="9"/>
  <c r="G2" i="2"/>
  <c r="G5" i="2"/>
  <c r="J5" i="2" s="1"/>
  <c r="G4" i="2"/>
  <c r="J4" i="2" s="1"/>
  <c r="G3" i="2"/>
  <c r="J3" i="2" s="1"/>
  <c r="J2" i="2" l="1"/>
  <c r="J6" i="2" l="1"/>
  <c r="D56" i="9"/>
  <c r="E56" i="9"/>
  <c r="E57" i="9" s="1"/>
  <c r="C56" i="9"/>
  <c r="B56" i="9"/>
  <c r="E56" i="8"/>
  <c r="E57" i="8" s="1"/>
  <c r="D56" i="8"/>
  <c r="D57" i="8" s="1"/>
  <c r="C56" i="8"/>
  <c r="C57" i="8" s="1"/>
  <c r="B56" i="8"/>
  <c r="B57" i="8" s="1"/>
  <c r="E56" i="7"/>
  <c r="D56" i="7"/>
  <c r="D57" i="7" s="1"/>
  <c r="C56" i="7"/>
  <c r="B56" i="7"/>
  <c r="B57" i="7" s="1"/>
  <c r="E56" i="1"/>
  <c r="D56" i="1"/>
  <c r="C56" i="1"/>
  <c r="B56" i="1"/>
  <c r="E5" i="2" l="1"/>
  <c r="E3" i="2"/>
  <c r="B12" i="2" s="1"/>
  <c r="E4" i="2"/>
  <c r="E2" i="2"/>
  <c r="B11" i="2" s="1"/>
  <c r="F56" i="9"/>
  <c r="I39" i="6" s="1"/>
  <c r="E58" i="9"/>
  <c r="E60" i="9" s="1"/>
  <c r="F59" i="9"/>
  <c r="F59" i="7"/>
  <c r="B58" i="8"/>
  <c r="F56" i="8"/>
  <c r="G39" i="6" s="1"/>
  <c r="D58" i="8"/>
  <c r="D60" i="8" s="1"/>
  <c r="E58" i="8"/>
  <c r="E60" i="8" s="1"/>
  <c r="F59" i="8"/>
  <c r="F56" i="7"/>
  <c r="E39" i="6" s="1"/>
  <c r="F59" i="1"/>
  <c r="F56" i="1"/>
  <c r="C39" i="6" s="1"/>
  <c r="I12" i="6" l="1"/>
  <c r="B14" i="2"/>
  <c r="G12" i="6"/>
  <c r="B13" i="2"/>
  <c r="E14" i="2"/>
  <c r="D14" i="2"/>
  <c r="C14" i="2"/>
  <c r="D11" i="2"/>
  <c r="D36" i="1" s="1"/>
  <c r="D37" i="1" s="1"/>
  <c r="C12" i="6"/>
  <c r="E12" i="6"/>
  <c r="E13" i="2"/>
  <c r="D13" i="2"/>
  <c r="C13" i="2"/>
  <c r="E12" i="2"/>
  <c r="D12" i="2"/>
  <c r="D36" i="7" s="1"/>
  <c r="D37" i="7" s="1"/>
  <c r="C12" i="2"/>
  <c r="B60" i="8"/>
  <c r="C11" i="2"/>
  <c r="E11" i="2"/>
  <c r="D36" i="9" l="1"/>
  <c r="D36" i="8"/>
  <c r="F12" i="2"/>
  <c r="E36" i="7"/>
  <c r="E37" i="7" s="1"/>
  <c r="C36" i="7"/>
  <c r="C37" i="7" s="1"/>
  <c r="B36" i="7"/>
  <c r="D39" i="7"/>
  <c r="D40" i="7" s="1"/>
  <c r="E36" i="1"/>
  <c r="E37" i="1" s="1"/>
  <c r="C36" i="1"/>
  <c r="C37" i="1" s="1"/>
  <c r="C39" i="1" s="1"/>
  <c r="F11" i="2"/>
  <c r="B36" i="1"/>
  <c r="D39" i="1"/>
  <c r="D37" i="8" l="1"/>
  <c r="D39" i="8" s="1"/>
  <c r="D40" i="8" s="1"/>
  <c r="D37" i="9"/>
  <c r="D39" i="9" s="1"/>
  <c r="D40" i="9" s="1"/>
  <c r="B38" i="7"/>
  <c r="F38" i="7" s="1"/>
  <c r="E23" i="6" s="1"/>
  <c r="B37" i="7"/>
  <c r="F37" i="7" s="1"/>
  <c r="E22" i="6" s="1"/>
  <c r="F14" i="2"/>
  <c r="B36" i="8"/>
  <c r="B36" i="9"/>
  <c r="B37" i="9" s="1"/>
  <c r="C36" i="8"/>
  <c r="C37" i="8" s="1"/>
  <c r="C36" i="9"/>
  <c r="E36" i="8"/>
  <c r="E36" i="9"/>
  <c r="D40" i="1"/>
  <c r="D42" i="1" s="1"/>
  <c r="C40" i="1"/>
  <c r="C42" i="1" s="1"/>
  <c r="F13" i="2"/>
  <c r="C39" i="7"/>
  <c r="C40" i="7" s="1"/>
  <c r="E39" i="7"/>
  <c r="E40" i="7" s="1"/>
  <c r="D44" i="7"/>
  <c r="D21" i="7" s="1"/>
  <c r="D24" i="7" s="1"/>
  <c r="D26" i="7" s="1"/>
  <c r="D42" i="7"/>
  <c r="F36" i="7"/>
  <c r="E21" i="6" s="1"/>
  <c r="E39" i="1"/>
  <c r="B37" i="1"/>
  <c r="F37" i="1" s="1"/>
  <c r="C22" i="6" s="1"/>
  <c r="B38" i="1"/>
  <c r="F38" i="1" s="1"/>
  <c r="C23" i="6" s="1"/>
  <c r="F36" i="1"/>
  <c r="C21" i="6" s="1"/>
  <c r="D42" i="9" l="1"/>
  <c r="D44" i="9"/>
  <c r="D21" i="9" s="1"/>
  <c r="D24" i="9" s="1"/>
  <c r="D26" i="9" s="1"/>
  <c r="D44" i="8"/>
  <c r="D21" i="8" s="1"/>
  <c r="D24" i="8" s="1"/>
  <c r="D26" i="8" s="1"/>
  <c r="D42" i="8"/>
  <c r="E37" i="9"/>
  <c r="E39" i="9" s="1"/>
  <c r="E40" i="9" s="1"/>
  <c r="B38" i="8"/>
  <c r="F38" i="8" s="1"/>
  <c r="G23" i="6" s="1"/>
  <c r="B37" i="8"/>
  <c r="E37" i="8"/>
  <c r="E39" i="8" s="1"/>
  <c r="E40" i="8" s="1"/>
  <c r="C37" i="9"/>
  <c r="B39" i="7"/>
  <c r="B40" i="7" s="1"/>
  <c r="F36" i="8"/>
  <c r="G21" i="6" s="1"/>
  <c r="C39" i="8"/>
  <c r="C40" i="8" s="1"/>
  <c r="C44" i="8" s="1"/>
  <c r="C21" i="8" s="1"/>
  <c r="C24" i="8" s="1"/>
  <c r="C26" i="8" s="1"/>
  <c r="D44" i="1"/>
  <c r="D21" i="1" s="1"/>
  <c r="D24" i="1" s="1"/>
  <c r="D26" i="1" s="1"/>
  <c r="F36" i="9"/>
  <c r="I21" i="6" s="1"/>
  <c r="B38" i="9"/>
  <c r="F38" i="9" s="1"/>
  <c r="I23" i="6" s="1"/>
  <c r="C44" i="1"/>
  <c r="C21" i="1" s="1"/>
  <c r="E40" i="1"/>
  <c r="E42" i="1" s="1"/>
  <c r="C44" i="7"/>
  <c r="C21" i="7" s="1"/>
  <c r="C24" i="7" s="1"/>
  <c r="C26" i="7" s="1"/>
  <c r="C42" i="7"/>
  <c r="E44" i="7"/>
  <c r="E21" i="7" s="1"/>
  <c r="E24" i="7" s="1"/>
  <c r="E26" i="7" s="1"/>
  <c r="E42" i="7"/>
  <c r="B39" i="1"/>
  <c r="F37" i="9" l="1"/>
  <c r="I22" i="6" s="1"/>
  <c r="F39" i="7"/>
  <c r="F40" i="7" s="1"/>
  <c r="E42" i="8"/>
  <c r="E44" i="8"/>
  <c r="E21" i="8" s="1"/>
  <c r="E24" i="8" s="1"/>
  <c r="E26" i="8" s="1"/>
  <c r="E42" i="9"/>
  <c r="E44" i="9"/>
  <c r="E21" i="9" s="1"/>
  <c r="E24" i="9" s="1"/>
  <c r="E26" i="9" s="1"/>
  <c r="C39" i="9"/>
  <c r="C40" i="9" s="1"/>
  <c r="F37" i="8"/>
  <c r="G22" i="6" s="1"/>
  <c r="B39" i="8"/>
  <c r="B40" i="8" s="1"/>
  <c r="B42" i="8" s="1"/>
  <c r="C42" i="8"/>
  <c r="B39" i="9"/>
  <c r="E44" i="1"/>
  <c r="E21" i="1" s="1"/>
  <c r="E24" i="1" s="1"/>
  <c r="E26" i="1" s="1"/>
  <c r="B44" i="7"/>
  <c r="B42" i="7"/>
  <c r="C24" i="1"/>
  <c r="C26" i="1" s="1"/>
  <c r="F39" i="8" l="1"/>
  <c r="F40" i="8" s="1"/>
  <c r="B44" i="8"/>
  <c r="B21" i="8" s="1"/>
  <c r="B24" i="8" s="1"/>
  <c r="B26" i="8" s="1"/>
  <c r="E24" i="6"/>
  <c r="E25" i="6" s="1"/>
  <c r="F39" i="9"/>
  <c r="F40" i="9" s="1"/>
  <c r="F42" i="8"/>
  <c r="G27" i="6" s="1"/>
  <c r="C44" i="9"/>
  <c r="C21" i="9" s="1"/>
  <c r="C24" i="9" s="1"/>
  <c r="C26" i="9" s="1"/>
  <c r="C42" i="9"/>
  <c r="B40" i="9"/>
  <c r="B21" i="7"/>
  <c r="B24" i="7" s="1"/>
  <c r="B26" i="7" s="1"/>
  <c r="F42" i="7"/>
  <c r="E27" i="6" s="1"/>
  <c r="F24" i="8" l="1"/>
  <c r="F26" i="8" s="1"/>
  <c r="F21" i="8"/>
  <c r="G24" i="6"/>
  <c r="G25" i="6" s="1"/>
  <c r="I24" i="6"/>
  <c r="I25" i="6" s="1"/>
  <c r="B42" i="9"/>
  <c r="F42" i="9" s="1"/>
  <c r="I27" i="6" s="1"/>
  <c r="B44" i="9"/>
  <c r="B21" i="9" s="1"/>
  <c r="F21" i="7"/>
  <c r="F24" i="7"/>
  <c r="F26" i="7" s="1"/>
  <c r="K10" i="7" l="1"/>
  <c r="K10" i="8"/>
  <c r="B24" i="9"/>
  <c r="B26" i="9" s="1"/>
  <c r="F21" i="9"/>
  <c r="F5" i="1"/>
  <c r="N2" i="1" s="1"/>
  <c r="C3" i="3" l="1"/>
  <c r="E15" i="6"/>
  <c r="C4" i="3"/>
  <c r="G15" i="6"/>
  <c r="N4" i="1"/>
  <c r="C88" i="6" s="1"/>
  <c r="C4" i="6"/>
  <c r="C6" i="6" s="1"/>
  <c r="F24" i="9"/>
  <c r="F26" i="9" s="1"/>
  <c r="K10" i="9" l="1"/>
  <c r="I15" i="6" s="1"/>
  <c r="N5" i="1"/>
  <c r="F39" i="1"/>
  <c r="B40" i="1"/>
  <c r="B44" i="1" s="1"/>
  <c r="F40" i="1" l="1"/>
  <c r="C24" i="6"/>
  <c r="C25" i="6" s="1"/>
  <c r="B21" i="1"/>
  <c r="B42" i="1"/>
  <c r="F42" i="1" l="1"/>
  <c r="C27" i="6" s="1"/>
  <c r="B24" i="1"/>
  <c r="B26" i="1" s="1"/>
  <c r="F21" i="1"/>
  <c r="F24" i="1" l="1"/>
  <c r="F26" i="1" s="1"/>
  <c r="K10" i="1" l="1"/>
  <c r="C2" i="3" l="1"/>
  <c r="C15" i="6"/>
  <c r="N4" i="3"/>
  <c r="N2" i="3"/>
  <c r="N3" i="3"/>
  <c r="H4" i="3" l="1"/>
  <c r="J4" i="3" s="1"/>
  <c r="H2" i="3"/>
  <c r="J2" i="3" s="1"/>
  <c r="H5" i="3"/>
  <c r="J5" i="3" s="1"/>
  <c r="H3" i="3"/>
  <c r="J3" i="3" s="1"/>
  <c r="J6" i="3" l="1"/>
  <c r="E5" i="3" s="1"/>
  <c r="I18" i="6" s="1"/>
  <c r="E3" i="3" l="1"/>
  <c r="C37" i="3" s="1"/>
  <c r="C67" i="7" s="1"/>
  <c r="C68" i="7" s="1"/>
  <c r="E2" i="3"/>
  <c r="C18" i="6" s="1"/>
  <c r="E4" i="3"/>
  <c r="G18" i="6" s="1"/>
  <c r="E18" i="6" l="1"/>
  <c r="B37" i="3"/>
  <c r="B67" i="7" s="1"/>
  <c r="B68" i="7" s="1"/>
  <c r="B11" i="3"/>
  <c r="E37" i="3"/>
  <c r="E67" i="7" s="1"/>
  <c r="E68" i="7" s="1"/>
  <c r="E12" i="3"/>
  <c r="E47" i="7" s="1"/>
  <c r="E36" i="3"/>
  <c r="E67" i="1" s="1"/>
  <c r="E68" i="1" s="1"/>
  <c r="C12" i="3"/>
  <c r="C47" i="7" s="1"/>
  <c r="D11" i="3"/>
  <c r="D47" i="1" s="1"/>
  <c r="D48" i="1" s="1"/>
  <c r="D37" i="3"/>
  <c r="D67" i="7" s="1"/>
  <c r="D68" i="7" s="1"/>
  <c r="D12" i="3"/>
  <c r="D47" i="7" s="1"/>
  <c r="B36" i="3"/>
  <c r="B67" i="1" s="1"/>
  <c r="B68" i="1" s="1"/>
  <c r="B12" i="3"/>
  <c r="B47" i="7" s="1"/>
  <c r="B38" i="3"/>
  <c r="B67" i="8" s="1"/>
  <c r="B68" i="8" s="1"/>
  <c r="E38" i="3"/>
  <c r="E67" i="8" s="1"/>
  <c r="E68" i="8" s="1"/>
  <c r="E11" i="3"/>
  <c r="E47" i="1" s="1"/>
  <c r="E48" i="1" s="1"/>
  <c r="D38" i="3"/>
  <c r="D67" i="8" s="1"/>
  <c r="D68" i="8" s="1"/>
  <c r="C38" i="3"/>
  <c r="C67" i="8" s="1"/>
  <c r="C68" i="8" s="1"/>
  <c r="D13" i="3"/>
  <c r="D47" i="8" s="1"/>
  <c r="C11" i="3"/>
  <c r="C47" i="1" s="1"/>
  <c r="C48" i="1" s="1"/>
  <c r="E13" i="3"/>
  <c r="E47" i="8" s="1"/>
  <c r="D36" i="3"/>
  <c r="D67" i="1" s="1"/>
  <c r="D68" i="1" s="1"/>
  <c r="C13" i="3"/>
  <c r="C47" i="8" s="1"/>
  <c r="C36" i="3"/>
  <c r="C67" i="1" s="1"/>
  <c r="C68" i="1" s="1"/>
  <c r="B13" i="3"/>
  <c r="B47" i="8" s="1"/>
  <c r="B48" i="8" l="1"/>
  <c r="B49" i="8"/>
  <c r="C48" i="8"/>
  <c r="C49" i="8"/>
  <c r="E48" i="8"/>
  <c r="E49" i="8"/>
  <c r="D48" i="8"/>
  <c r="D49" i="8"/>
  <c r="F68" i="7"/>
  <c r="E47" i="6" s="1"/>
  <c r="D48" i="7"/>
  <c r="D49" i="7"/>
  <c r="C48" i="7"/>
  <c r="C49" i="7"/>
  <c r="E48" i="7"/>
  <c r="E49" i="7"/>
  <c r="B48" i="7"/>
  <c r="B49" i="7"/>
  <c r="F68" i="1"/>
  <c r="C47" i="6" s="1"/>
  <c r="D49" i="1"/>
  <c r="D50" i="1" s="1"/>
  <c r="F67" i="7"/>
  <c r="E46" i="6" s="1"/>
  <c r="F12" i="3"/>
  <c r="F11" i="3"/>
  <c r="F67" i="1"/>
  <c r="C46" i="6" s="1"/>
  <c r="F47" i="7"/>
  <c r="E30" i="6" s="1"/>
  <c r="F37" i="3"/>
  <c r="B47" i="1"/>
  <c r="B48" i="1" s="1"/>
  <c r="F48" i="1" s="1"/>
  <c r="C31" i="6" s="1"/>
  <c r="D39" i="3"/>
  <c r="D67" i="9" s="1"/>
  <c r="D68" i="9" s="1"/>
  <c r="B14" i="3"/>
  <c r="B47" i="9" s="1"/>
  <c r="F68" i="8"/>
  <c r="G47" i="6" s="1"/>
  <c r="C49" i="1"/>
  <c r="C50" i="1" s="1"/>
  <c r="C51" i="1" s="1"/>
  <c r="C57" i="1" s="1"/>
  <c r="F67" i="8"/>
  <c r="G46" i="6" s="1"/>
  <c r="F36" i="3"/>
  <c r="E49" i="1"/>
  <c r="E50" i="1" s="1"/>
  <c r="E51" i="1" s="1"/>
  <c r="B39" i="3"/>
  <c r="B67" i="9" s="1"/>
  <c r="B68" i="9" s="1"/>
  <c r="F13" i="3"/>
  <c r="C39" i="3"/>
  <c r="C67" i="9" s="1"/>
  <c r="C68" i="9" s="1"/>
  <c r="E14" i="3"/>
  <c r="E47" i="9" s="1"/>
  <c r="D14" i="3"/>
  <c r="D47" i="9" s="1"/>
  <c r="E39" i="3"/>
  <c r="E67" i="9" s="1"/>
  <c r="E68" i="9" s="1"/>
  <c r="C14" i="3"/>
  <c r="C47" i="9" s="1"/>
  <c r="F47" i="8"/>
  <c r="G30" i="6" s="1"/>
  <c r="F38" i="3"/>
  <c r="C58" i="8"/>
  <c r="E53" i="1" l="1"/>
  <c r="E57" i="1"/>
  <c r="E58" i="1" s="1"/>
  <c r="E60" i="1" s="1"/>
  <c r="D48" i="9"/>
  <c r="D49" i="9"/>
  <c r="E48" i="9"/>
  <c r="E49" i="9"/>
  <c r="C48" i="9"/>
  <c r="C49" i="9"/>
  <c r="C50" i="8"/>
  <c r="C51" i="8" s="1"/>
  <c r="B48" i="9"/>
  <c r="B49" i="9"/>
  <c r="E50" i="8"/>
  <c r="E51" i="8" s="1"/>
  <c r="D50" i="8"/>
  <c r="D51" i="8" s="1"/>
  <c r="F48" i="8"/>
  <c r="G31" i="6" s="1"/>
  <c r="F49" i="8"/>
  <c r="G32" i="6" s="1"/>
  <c r="B50" i="8"/>
  <c r="F48" i="7"/>
  <c r="E31" i="6" s="1"/>
  <c r="F49" i="7"/>
  <c r="E32" i="6" s="1"/>
  <c r="E50" i="7"/>
  <c r="E51" i="7" s="1"/>
  <c r="E57" i="7" s="1"/>
  <c r="E58" i="7" s="1"/>
  <c r="E60" i="7" s="1"/>
  <c r="C50" i="7"/>
  <c r="C51" i="7" s="1"/>
  <c r="D50" i="7"/>
  <c r="D51" i="7" s="1"/>
  <c r="D53" i="7" s="1"/>
  <c r="D58" i="7"/>
  <c r="D60" i="7" s="1"/>
  <c r="B50" i="7"/>
  <c r="D51" i="1"/>
  <c r="E64" i="1"/>
  <c r="E69" i="1" s="1"/>
  <c r="E70" i="1" s="1"/>
  <c r="E72" i="1" s="1"/>
  <c r="F68" i="9"/>
  <c r="I47" i="6" s="1"/>
  <c r="C53" i="1"/>
  <c r="B49" i="1"/>
  <c r="B50" i="1" s="1"/>
  <c r="F50" i="1" s="1"/>
  <c r="C33" i="6" s="1"/>
  <c r="F47" i="1"/>
  <c r="C30" i="6" s="1"/>
  <c r="F39" i="3"/>
  <c r="F67" i="9"/>
  <c r="I46" i="6" s="1"/>
  <c r="F47" i="9"/>
  <c r="I30" i="6" s="1"/>
  <c r="F14" i="3"/>
  <c r="F57" i="8"/>
  <c r="G40" i="6" s="1"/>
  <c r="G41" i="6" s="1"/>
  <c r="C60" i="8"/>
  <c r="F58" i="8"/>
  <c r="C58" i="1"/>
  <c r="C53" i="7" l="1"/>
  <c r="C57" i="7"/>
  <c r="C58" i="7" s="1"/>
  <c r="C60" i="7" s="1"/>
  <c r="E62" i="1"/>
  <c r="E81" i="1" s="1"/>
  <c r="E85" i="1" s="1"/>
  <c r="D57" i="1"/>
  <c r="D58" i="1" s="1"/>
  <c r="D60" i="1" s="1"/>
  <c r="F49" i="9"/>
  <c r="I32" i="6" s="1"/>
  <c r="B50" i="9"/>
  <c r="B51" i="9" s="1"/>
  <c r="C50" i="9"/>
  <c r="C51" i="9" s="1"/>
  <c r="F48" i="9"/>
  <c r="I31" i="6" s="1"/>
  <c r="E50" i="9"/>
  <c r="E51" i="9" s="1"/>
  <c r="C53" i="8"/>
  <c r="C62" i="8" s="1"/>
  <c r="C64" i="8"/>
  <c r="C69" i="8" s="1"/>
  <c r="D50" i="9"/>
  <c r="F50" i="8"/>
  <c r="G33" i="6" s="1"/>
  <c r="G34" i="6" s="1"/>
  <c r="D53" i="8"/>
  <c r="D62" i="8" s="1"/>
  <c r="D64" i="8"/>
  <c r="D69" i="8" s="1"/>
  <c r="D70" i="8" s="1"/>
  <c r="D80" i="8" s="1"/>
  <c r="E64" i="8"/>
  <c r="E53" i="8"/>
  <c r="E62" i="8" s="1"/>
  <c r="B51" i="8"/>
  <c r="F50" i="7"/>
  <c r="E33" i="6" s="1"/>
  <c r="E34" i="6" s="1"/>
  <c r="D62" i="7"/>
  <c r="E64" i="7"/>
  <c r="E69" i="7" s="1"/>
  <c r="E70" i="7" s="1"/>
  <c r="E80" i="7" s="1"/>
  <c r="E53" i="7"/>
  <c r="E62" i="7" s="1"/>
  <c r="D64" i="7"/>
  <c r="D53" i="1"/>
  <c r="B51" i="7"/>
  <c r="E80" i="1"/>
  <c r="E79" i="1"/>
  <c r="E83" i="1" s="1"/>
  <c r="E74" i="1"/>
  <c r="E75" i="1" s="1"/>
  <c r="B51" i="1"/>
  <c r="B57" i="1" s="1"/>
  <c r="F49" i="1"/>
  <c r="C32" i="6" s="1"/>
  <c r="C34" i="6" s="1"/>
  <c r="F60" i="8"/>
  <c r="G43" i="6" s="1"/>
  <c r="C60" i="1"/>
  <c r="C64" i="1"/>
  <c r="C62" i="7" l="1"/>
  <c r="D62" i="1"/>
  <c r="C64" i="7"/>
  <c r="C53" i="9"/>
  <c r="C57" i="9"/>
  <c r="C58" i="9" s="1"/>
  <c r="C60" i="9" s="1"/>
  <c r="B53" i="9"/>
  <c r="B57" i="9"/>
  <c r="D64" i="1"/>
  <c r="D69" i="1" s="1"/>
  <c r="D70" i="1" s="1"/>
  <c r="D80" i="1" s="1"/>
  <c r="E91" i="1"/>
  <c r="B53" i="1"/>
  <c r="F53" i="1" s="1"/>
  <c r="C36" i="6" s="1"/>
  <c r="E53" i="9"/>
  <c r="E62" i="9" s="1"/>
  <c r="E64" i="9"/>
  <c r="D72" i="8"/>
  <c r="D81" i="8" s="1"/>
  <c r="D85" i="8" s="1"/>
  <c r="D51" i="9"/>
  <c r="D57" i="9" s="1"/>
  <c r="D58" i="9" s="1"/>
  <c r="D60" i="9" s="1"/>
  <c r="F50" i="9"/>
  <c r="I33" i="6" s="1"/>
  <c r="I34" i="6" s="1"/>
  <c r="D79" i="8"/>
  <c r="D83" i="8" s="1"/>
  <c r="D74" i="8"/>
  <c r="D75" i="8" s="1"/>
  <c r="D89" i="8" s="1"/>
  <c r="B64" i="8"/>
  <c r="F51" i="8"/>
  <c r="B53" i="8"/>
  <c r="E69" i="8"/>
  <c r="E70" i="8" s="1"/>
  <c r="E74" i="8" s="1"/>
  <c r="E75" i="8" s="1"/>
  <c r="E89" i="8" s="1"/>
  <c r="E79" i="7"/>
  <c r="E83" i="7" s="1"/>
  <c r="E74" i="7"/>
  <c r="E75" i="7" s="1"/>
  <c r="E89" i="7" s="1"/>
  <c r="E72" i="7"/>
  <c r="E81" i="7" s="1"/>
  <c r="E85" i="7" s="1"/>
  <c r="C69" i="7"/>
  <c r="C70" i="7" s="1"/>
  <c r="C74" i="7" s="1"/>
  <c r="C75" i="7" s="1"/>
  <c r="B53" i="7"/>
  <c r="F51" i="7"/>
  <c r="D69" i="7"/>
  <c r="D70" i="7" s="1"/>
  <c r="D74" i="7" s="1"/>
  <c r="D75" i="7" s="1"/>
  <c r="F51" i="1"/>
  <c r="E89" i="1"/>
  <c r="E87" i="1"/>
  <c r="C70" i="8"/>
  <c r="C69" i="1"/>
  <c r="C62" i="1"/>
  <c r="C64" i="9" l="1"/>
  <c r="C69" i="9" s="1"/>
  <c r="C70" i="9" s="1"/>
  <c r="C74" i="9" s="1"/>
  <c r="C75" i="9" s="1"/>
  <c r="C89" i="9" s="1"/>
  <c r="D72" i="1"/>
  <c r="D81" i="1" s="1"/>
  <c r="D85" i="1" s="1"/>
  <c r="D74" i="1"/>
  <c r="D75" i="1" s="1"/>
  <c r="D87" i="1" s="1"/>
  <c r="D79" i="1"/>
  <c r="D83" i="1" s="1"/>
  <c r="B58" i="9"/>
  <c r="F57" i="9"/>
  <c r="I40" i="6" s="1"/>
  <c r="I41" i="6" s="1"/>
  <c r="B58" i="1"/>
  <c r="F57" i="1"/>
  <c r="C40" i="6" s="1"/>
  <c r="C41" i="6" s="1"/>
  <c r="E69" i="9"/>
  <c r="E70" i="9" s="1"/>
  <c r="E74" i="9" s="1"/>
  <c r="E75" i="9" s="1"/>
  <c r="D87" i="8"/>
  <c r="D91" i="8"/>
  <c r="D53" i="9"/>
  <c r="D64" i="9"/>
  <c r="F51" i="9"/>
  <c r="E80" i="8"/>
  <c r="E72" i="8"/>
  <c r="E81" i="8" s="1"/>
  <c r="E79" i="8"/>
  <c r="E83" i="8" s="1"/>
  <c r="B62" i="8"/>
  <c r="F53" i="8"/>
  <c r="G36" i="6" s="1"/>
  <c r="E87" i="8"/>
  <c r="B69" i="8"/>
  <c r="E91" i="7"/>
  <c r="E87" i="7"/>
  <c r="C87" i="7"/>
  <c r="C89" i="7"/>
  <c r="C79" i="7"/>
  <c r="C83" i="7" s="1"/>
  <c r="C80" i="7"/>
  <c r="C72" i="7"/>
  <c r="C81" i="7" s="1"/>
  <c r="C85" i="7" s="1"/>
  <c r="D87" i="7"/>
  <c r="D89" i="7"/>
  <c r="D79" i="7"/>
  <c r="D83" i="7" s="1"/>
  <c r="D80" i="7"/>
  <c r="D72" i="7"/>
  <c r="D81" i="7" s="1"/>
  <c r="D85" i="7" s="1"/>
  <c r="F53" i="7"/>
  <c r="E36" i="6" s="1"/>
  <c r="F57" i="7"/>
  <c r="E40" i="6" s="1"/>
  <c r="E41" i="6" s="1"/>
  <c r="B58" i="7"/>
  <c r="C62" i="9"/>
  <c r="C72" i="8"/>
  <c r="C80" i="8"/>
  <c r="C79" i="8"/>
  <c r="C74" i="8"/>
  <c r="C75" i="8" s="1"/>
  <c r="C70" i="1"/>
  <c r="C87" i="9" l="1"/>
  <c r="C72" i="9"/>
  <c r="C81" i="9" s="1"/>
  <c r="C85" i="9" s="1"/>
  <c r="C80" i="9"/>
  <c r="C79" i="9"/>
  <c r="C83" i="9" s="1"/>
  <c r="D91" i="1"/>
  <c r="D89" i="1"/>
  <c r="B60" i="9"/>
  <c r="F58" i="9"/>
  <c r="B64" i="9"/>
  <c r="B60" i="1"/>
  <c r="F58" i="1"/>
  <c r="B64" i="1"/>
  <c r="E87" i="9"/>
  <c r="E89" i="9"/>
  <c r="E80" i="9"/>
  <c r="E79" i="9"/>
  <c r="E83" i="9" s="1"/>
  <c r="E72" i="9"/>
  <c r="E81" i="9" s="1"/>
  <c r="D69" i="9"/>
  <c r="D62" i="9"/>
  <c r="F53" i="9"/>
  <c r="I36" i="6" s="1"/>
  <c r="B70" i="8"/>
  <c r="F69" i="8"/>
  <c r="G48" i="6" s="1"/>
  <c r="G49" i="6" s="1"/>
  <c r="F62" i="8"/>
  <c r="E85" i="8"/>
  <c r="E91" i="8" s="1"/>
  <c r="C91" i="7"/>
  <c r="D91" i="7"/>
  <c r="B60" i="7"/>
  <c r="F58" i="7"/>
  <c r="B64" i="7"/>
  <c r="C89" i="8"/>
  <c r="C87" i="8"/>
  <c r="C83" i="8"/>
  <c r="C81" i="8"/>
  <c r="C72" i="1"/>
  <c r="C80" i="1"/>
  <c r="C79" i="1"/>
  <c r="C74" i="1"/>
  <c r="C75" i="1" s="1"/>
  <c r="B69" i="9" l="1"/>
  <c r="B70" i="9" s="1"/>
  <c r="B74" i="9" s="1"/>
  <c r="B75" i="9" s="1"/>
  <c r="B62" i="9"/>
  <c r="F62" i="9" s="1"/>
  <c r="F60" i="9"/>
  <c r="I43" i="6" s="1"/>
  <c r="B69" i="1"/>
  <c r="F60" i="1"/>
  <c r="C43" i="6" s="1"/>
  <c r="B62" i="1"/>
  <c r="F62" i="1" s="1"/>
  <c r="E85" i="9"/>
  <c r="E91" i="9" s="1"/>
  <c r="D70" i="9"/>
  <c r="B80" i="8"/>
  <c r="F80" i="8" s="1"/>
  <c r="B72" i="8"/>
  <c r="B79" i="8"/>
  <c r="F70" i="8"/>
  <c r="B74" i="8"/>
  <c r="C91" i="9"/>
  <c r="B69" i="7"/>
  <c r="F60" i="7"/>
  <c r="E43" i="6" s="1"/>
  <c r="B62" i="7"/>
  <c r="C89" i="1"/>
  <c r="C87" i="1"/>
  <c r="C85" i="8"/>
  <c r="C83" i="1"/>
  <c r="C81" i="1"/>
  <c r="F69" i="9" l="1"/>
  <c r="I48" i="6" s="1"/>
  <c r="I49" i="6" s="1"/>
  <c r="B89" i="9"/>
  <c r="B87" i="9"/>
  <c r="B79" i="9"/>
  <c r="B83" i="9" s="1"/>
  <c r="B80" i="9"/>
  <c r="B72" i="9"/>
  <c r="B81" i="9" s="1"/>
  <c r="B70" i="1"/>
  <c r="F69" i="1"/>
  <c r="C48" i="6" s="1"/>
  <c r="C49" i="6" s="1"/>
  <c r="D79" i="9"/>
  <c r="D72" i="9"/>
  <c r="F70" i="9"/>
  <c r="D80" i="9"/>
  <c r="D74" i="9"/>
  <c r="B75" i="8"/>
  <c r="F74" i="8"/>
  <c r="B83" i="8"/>
  <c r="F83" i="8" s="1"/>
  <c r="G70" i="6" s="1"/>
  <c r="F79" i="8"/>
  <c r="G55" i="6" s="1"/>
  <c r="G56" i="6" s="1"/>
  <c r="B81" i="8"/>
  <c r="F72" i="8"/>
  <c r="G51" i="6" s="1"/>
  <c r="F62" i="7"/>
  <c r="F69" i="7"/>
  <c r="E48" i="6" s="1"/>
  <c r="E49" i="6" s="1"/>
  <c r="B70" i="7"/>
  <c r="C91" i="8"/>
  <c r="C85" i="1"/>
  <c r="F80" i="9" l="1"/>
  <c r="B85" i="9"/>
  <c r="B91" i="9" s="1"/>
  <c r="B80" i="1"/>
  <c r="F80" i="1" s="1"/>
  <c r="B72" i="1"/>
  <c r="B79" i="1"/>
  <c r="F70" i="1"/>
  <c r="B74" i="1"/>
  <c r="D75" i="9"/>
  <c r="F74" i="9"/>
  <c r="D81" i="9"/>
  <c r="F72" i="9"/>
  <c r="I51" i="6" s="1"/>
  <c r="D83" i="9"/>
  <c r="F83" i="9" s="1"/>
  <c r="I70" i="6" s="1"/>
  <c r="F79" i="9"/>
  <c r="I55" i="6" s="1"/>
  <c r="I56" i="6" s="1"/>
  <c r="B85" i="8"/>
  <c r="F85" i="8" s="1"/>
  <c r="G65" i="6" s="1"/>
  <c r="F81" i="8"/>
  <c r="B89" i="8"/>
  <c r="F89" i="8" s="1"/>
  <c r="G77" i="6" s="1"/>
  <c r="B87" i="8"/>
  <c r="F87" i="8" s="1"/>
  <c r="G75" i="6" s="1"/>
  <c r="F75" i="8"/>
  <c r="G58" i="6" s="1"/>
  <c r="B80" i="7"/>
  <c r="F80" i="7" s="1"/>
  <c r="F70" i="7"/>
  <c r="B72" i="7"/>
  <c r="B79" i="7"/>
  <c r="B74" i="7"/>
  <c r="C91" i="1"/>
  <c r="B83" i="1" l="1"/>
  <c r="F83" i="1" s="1"/>
  <c r="C70" i="6" s="1"/>
  <c r="F79" i="1"/>
  <c r="C55" i="6" s="1"/>
  <c r="C56" i="6" s="1"/>
  <c r="B81" i="1"/>
  <c r="F72" i="1"/>
  <c r="C51" i="6" s="1"/>
  <c r="B75" i="1"/>
  <c r="F74" i="1"/>
  <c r="B91" i="8"/>
  <c r="D85" i="9"/>
  <c r="F81" i="9"/>
  <c r="D87" i="9"/>
  <c r="F87" i="9" s="1"/>
  <c r="I75" i="6" s="1"/>
  <c r="D89" i="9"/>
  <c r="F89" i="9" s="1"/>
  <c r="I77" i="6" s="1"/>
  <c r="F75" i="9"/>
  <c r="I58" i="6" s="1"/>
  <c r="F91" i="8"/>
  <c r="G63" i="6"/>
  <c r="G67" i="6" s="1"/>
  <c r="H88" i="6" s="1"/>
  <c r="F74" i="7"/>
  <c r="B75" i="7"/>
  <c r="F79" i="7"/>
  <c r="E55" i="6" s="1"/>
  <c r="E56" i="6" s="1"/>
  <c r="B83" i="7"/>
  <c r="F83" i="7" s="1"/>
  <c r="E70" i="6" s="1"/>
  <c r="F72" i="7"/>
  <c r="E51" i="6" s="1"/>
  <c r="B81" i="7"/>
  <c r="H90" i="6" l="1"/>
  <c r="H86" i="6"/>
  <c r="H84" i="6"/>
  <c r="H70" i="6"/>
  <c r="B87" i="1"/>
  <c r="F87" i="1" s="1"/>
  <c r="C75" i="6" s="1"/>
  <c r="B89" i="1"/>
  <c r="F89" i="1" s="1"/>
  <c r="C77" i="6" s="1"/>
  <c r="F75" i="1"/>
  <c r="C58" i="6" s="1"/>
  <c r="B85" i="1"/>
  <c r="F85" i="1" s="1"/>
  <c r="C65" i="6" s="1"/>
  <c r="F81" i="1"/>
  <c r="H77" i="6"/>
  <c r="G72" i="6"/>
  <c r="H72" i="6" s="1"/>
  <c r="H75" i="6"/>
  <c r="I63" i="6"/>
  <c r="D91" i="9"/>
  <c r="F85" i="9"/>
  <c r="I65" i="6" s="1"/>
  <c r="B85" i="7"/>
  <c r="F85" i="7" s="1"/>
  <c r="E65" i="6" s="1"/>
  <c r="F81" i="7"/>
  <c r="F75" i="7"/>
  <c r="E58" i="6" s="1"/>
  <c r="B89" i="7"/>
  <c r="F89" i="7" s="1"/>
  <c r="E77" i="6" s="1"/>
  <c r="B87" i="7"/>
  <c r="F87" i="7" s="1"/>
  <c r="E75" i="6" s="1"/>
  <c r="B91" i="1" l="1"/>
  <c r="C63" i="6"/>
  <c r="C67" i="6" s="1"/>
  <c r="F91" i="1"/>
  <c r="G80" i="6"/>
  <c r="H80" i="6" s="1"/>
  <c r="F91" i="9"/>
  <c r="I67" i="6"/>
  <c r="I85" i="9"/>
  <c r="B91" i="7"/>
  <c r="I85" i="7"/>
  <c r="F91" i="7"/>
  <c r="E63" i="6"/>
  <c r="E67" i="6" s="1"/>
  <c r="F90" i="6" s="1"/>
  <c r="D90" i="6" l="1"/>
  <c r="D84" i="6"/>
  <c r="D86" i="6"/>
  <c r="D88" i="6"/>
  <c r="C72" i="6"/>
  <c r="D72" i="6" s="1"/>
  <c r="D70" i="6"/>
  <c r="D75" i="6"/>
  <c r="D77" i="6"/>
  <c r="G94" i="6"/>
  <c r="H94" i="6" s="1"/>
  <c r="J90" i="6"/>
  <c r="J70" i="6"/>
  <c r="J86" i="6"/>
  <c r="J88" i="6"/>
  <c r="J84" i="6"/>
  <c r="I72" i="6"/>
  <c r="J72" i="6" s="1"/>
  <c r="J77" i="6"/>
  <c r="J75" i="6"/>
  <c r="F88" i="6"/>
  <c r="E72" i="6"/>
  <c r="F72" i="6" s="1"/>
  <c r="F84" i="6"/>
  <c r="F86" i="6"/>
  <c r="F70" i="6"/>
  <c r="F77" i="6"/>
  <c r="F75" i="6"/>
  <c r="C80" i="6" l="1"/>
  <c r="D80" i="6" s="1"/>
  <c r="I80" i="6"/>
  <c r="J80" i="6" s="1"/>
  <c r="E80" i="6"/>
  <c r="E94" i="6" l="1"/>
  <c r="F94" i="6" s="1"/>
  <c r="F80" i="6"/>
  <c r="C94" i="6"/>
  <c r="D94" i="6" s="1"/>
  <c r="I94" i="6"/>
  <c r="J9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tc={E7C1B8F1-B04F-4BD1-9A9B-BC5C96E9925E}</author>
    <author>tc={005F1DE9-FF64-452D-960E-4B639BA2A440}</author>
  </authors>
  <commentList>
    <comment ref="B1" authorId="0" shapeId="0" xr:uid="{E7C1B8F1-B04F-4BD1-9A9B-BC5C96E992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médio dos produtos das categorias</t>
      </text>
    </comment>
    <comment ref="C1" authorId="1" shapeId="0" xr:uid="{005F1DE9-FF64-452D-960E-4B639BA2A44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Ter um planilha com uma lista de produtos e a compra deverá ser distribuída entre eles, com isso veremos a quantidade de produtos que faltarão.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tc={82ED73D3-9A92-413F-A6AB-8806F881EC7B}</author>
    <author>tc={30120A87-22D2-4A3F-8141-B44B36B7D0EA}</author>
    <author>Wanderley, Gabriel Junior Izidro</author>
  </authors>
  <commentList>
    <comment ref="B1" authorId="0" shapeId="0" xr:uid="{82ED73D3-9A92-413F-A6AB-8806F881EC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médio dos produtos das categorias</t>
      </text>
    </comment>
    <comment ref="C1" authorId="1" shapeId="0" xr:uid="{30120A87-22D2-4A3F-8141-B44B36B7D0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Ter um planilha com uma lista de produtos e a compra deverá ser distribuída entre eles, com isso veremos a quantidade de produtos que faltarão.</t>
      </text>
    </comment>
    <comment ref="A17" authorId="2" shapeId="0" xr:uid="{A7CAA71E-1D4D-4655-80CF-7931B41F07EB}">
      <text>
        <r>
          <rPr>
            <b/>
            <sz val="9"/>
            <color indexed="81"/>
            <rFont val="Segoe UI"/>
            <family val="2"/>
          </rPr>
          <t>Wanderley, Gabriel Junior Izidro:</t>
        </r>
        <r>
          <rPr>
            <sz val="9"/>
            <color indexed="81"/>
            <rFont val="Segoe UI"/>
            <family val="2"/>
          </rPr>
          <t xml:space="preserve">
Cada bandeira dará uma proposta para o volume solicitado, o melhor preço vencerá e a quantidade faltante irá para o segundo lugar e assim sucessicamente.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Wanderley, Gabriel Junior Izidro</author>
    <author>tc={43BDDD38-E38A-494D-BEFF-5D0909F4602A}</author>
  </authors>
  <commentList>
    <comment ref="I3" authorId="0" shapeId="0" xr:uid="{73DA40D0-3207-47A4-A2D0-E3E030FA407F}">
      <text>
        <r>
          <rPr>
            <b/>
            <sz val="9"/>
            <color indexed="81"/>
            <rFont val="Segoe UI"/>
            <family val="2"/>
          </rPr>
          <t>Wanderley, Gabriel Junior Izidro:</t>
        </r>
        <r>
          <rPr>
            <sz val="9"/>
            <color indexed="81"/>
            <rFont val="Segoe UI"/>
            <family val="2"/>
          </rPr>
          <t xml:space="preserve">
Teste com perguntas sobre digital vai corresponder ao percentual de acerto * % com base na quantidade de operadores de caixa</t>
        </r>
      </text>
    </comment>
    <comment ref="B38" authorId="1" shapeId="0" xr:uid="{43BDDD38-E38A-494D-BEFF-5D0909F460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afeta Perecíveis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tc={F8A65779-6CE2-4D3C-A0EC-D095569375DD}</author>
  </authors>
  <commentList>
    <comment ref="B38" authorId="0" shapeId="0" xr:uid="{F8A65779-6CE2-4D3C-A0EC-D095569375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afeta Perecíveis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tc={F1AA93A9-5508-4905-8490-3AA034AD79D2}</author>
  </authors>
  <commentList>
    <comment ref="B38" authorId="0" shapeId="0" xr:uid="{F1AA93A9-5508-4905-8490-3AA034AD79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afeta Perecíveis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tc={4D794091-0C63-47AF-8BB3-15DB1FC9C5CF}</author>
  </authors>
  <commentList>
    <comment ref="B38" authorId="0" shapeId="0" xr:uid="{4D794091-0C63-47AF-8BB3-15DB1FC9C5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afeta Perecíveis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Wanderley, Gabriel Junior Izidro</author>
  </authors>
  <commentList>
    <comment ref="G7" authorId="0" shapeId="0" xr:uid="{9CEE8E59-6B39-43B0-A208-513BEF288C34}">
      <text>
        <r>
          <rPr>
            <b/>
            <sz val="9"/>
            <color indexed="81"/>
            <rFont val="Segoe UI"/>
            <family val="2"/>
          </rPr>
          <t>Wanderley, Gabriel Junior Izidro:</t>
        </r>
        <r>
          <rPr>
            <sz val="9"/>
            <color indexed="81"/>
            <rFont val="Segoe UI"/>
            <family val="2"/>
          </rPr>
          <t xml:space="preserve">
 Utilizei a média da coluna [ 181 - 270 ] do Moacyr e dividi por 12 meses, pois não teremos movimentações de compra durante o ano e usar o % sobre o estoque que sobrar ficaria muito alto.</t>
        </r>
      </text>
    </comment>
    <comment ref="F12" authorId="0" shapeId="0" xr:uid="{9DCC9156-C8CA-42CB-B954-075543EC0849}">
      <text>
        <r>
          <rPr>
            <b/>
            <sz val="9"/>
            <color indexed="81"/>
            <rFont val="Segoe UI"/>
            <family val="2"/>
          </rPr>
          <t>Wanderley, Gabriel Junior Izidro:</t>
        </r>
        <r>
          <rPr>
            <sz val="9"/>
            <color indexed="81"/>
            <rFont val="Segoe UI"/>
            <family val="2"/>
          </rPr>
          <t xml:space="preserve">
Informar o % que será vendido por rodada.</t>
        </r>
      </text>
    </comment>
  </commentList>
</comments>
</file>

<file path=xl/sharedStrings.xml><?xml version="1.0" encoding="utf-8"?>
<sst xmlns="http://schemas.openxmlformats.org/spreadsheetml/2006/main" count="747" uniqueCount="176">
  <si>
    <t>GBarbosa</t>
  </si>
  <si>
    <t>Bretas</t>
  </si>
  <si>
    <t>Prezunic</t>
  </si>
  <si>
    <t>Perecíves</t>
  </si>
  <si>
    <t>Mercearia</t>
  </si>
  <si>
    <t>Eletro</t>
  </si>
  <si>
    <t>Hipel</t>
  </si>
  <si>
    <t>Qtd Estoque</t>
  </si>
  <si>
    <t>Custo Unit</t>
  </si>
  <si>
    <t>Total Estoque</t>
  </si>
  <si>
    <t>Preço de Venda</t>
  </si>
  <si>
    <t>Impostos</t>
  </si>
  <si>
    <t>% Margem</t>
  </si>
  <si>
    <t>% Impostos</t>
  </si>
  <si>
    <t>Preço Médio da Cesta</t>
  </si>
  <si>
    <t>Disponibilidade</t>
  </si>
  <si>
    <t>Serviços</t>
  </si>
  <si>
    <t>Pontuação</t>
  </si>
  <si>
    <t>Preço</t>
  </si>
  <si>
    <t>Disp</t>
  </si>
  <si>
    <t>Total</t>
  </si>
  <si>
    <t>Vendas</t>
  </si>
  <si>
    <t>Valor de venda</t>
  </si>
  <si>
    <t>Total Vendido</t>
  </si>
  <si>
    <t>SLA Serviços</t>
  </si>
  <si>
    <t>Capex Segurança</t>
  </si>
  <si>
    <t>Capex Balança/Freezer</t>
  </si>
  <si>
    <t>Capex Site</t>
  </si>
  <si>
    <t>Capex Melhoria Contínua</t>
  </si>
  <si>
    <t>Capex Redes</t>
  </si>
  <si>
    <t>Incidente Segurança</t>
  </si>
  <si>
    <t>Incidente Balanças/Freezer</t>
  </si>
  <si>
    <t>Dias sem venda</t>
  </si>
  <si>
    <t>Incidente Cartões</t>
  </si>
  <si>
    <t>Incidente site</t>
  </si>
  <si>
    <t>Alto fluxo de Clientes</t>
  </si>
  <si>
    <t>Venda atacado</t>
  </si>
  <si>
    <t>Venda Atacado</t>
  </si>
  <si>
    <t>Total de Vendas</t>
  </si>
  <si>
    <t>Total de vendas</t>
  </si>
  <si>
    <t>Valor Atacado</t>
  </si>
  <si>
    <t>Qtd Vendida</t>
  </si>
  <si>
    <t>Custo Venda</t>
  </si>
  <si>
    <t>Estoque</t>
  </si>
  <si>
    <t>Estoque Final</t>
  </si>
  <si>
    <t>Devolução Venda</t>
  </si>
  <si>
    <t>Total Vendido Atacado</t>
  </si>
  <si>
    <t>Melhor</t>
  </si>
  <si>
    <t>Pior</t>
  </si>
  <si>
    <t>Rodada 1</t>
  </si>
  <si>
    <t>Rodada 2</t>
  </si>
  <si>
    <t>Rodada 3</t>
  </si>
  <si>
    <t>Capex</t>
  </si>
  <si>
    <t>Aprovado?</t>
  </si>
  <si>
    <t>Total CAPEX</t>
  </si>
  <si>
    <t>CAPEX Segurança</t>
  </si>
  <si>
    <t>CAPEX Balança/Freezer</t>
  </si>
  <si>
    <t>CAPEX Redes</t>
  </si>
  <si>
    <t>CAPEX Site</t>
  </si>
  <si>
    <t>CAPEX Melhoria Contínua</t>
  </si>
  <si>
    <t>Disponibiliidade</t>
  </si>
  <si>
    <t>CSAT</t>
  </si>
  <si>
    <t>Apuração das vendas</t>
  </si>
  <si>
    <t>Margem Líquida (PDV)</t>
  </si>
  <si>
    <t>MIX Disponível</t>
  </si>
  <si>
    <t>% Part. Demanda de Vendas</t>
  </si>
  <si>
    <t>2ª Rodada de configuração</t>
  </si>
  <si>
    <t>Gbarbosa</t>
  </si>
  <si>
    <t>Valor CAPEX</t>
  </si>
  <si>
    <t>Operador de Caixa</t>
  </si>
  <si>
    <t>% Quebras</t>
  </si>
  <si>
    <t>Total Venda Líquida</t>
  </si>
  <si>
    <t>EBITDA</t>
  </si>
  <si>
    <t>Estoque Atual</t>
  </si>
  <si>
    <t>Qtd A comprar</t>
  </si>
  <si>
    <t>Novo Estoque</t>
  </si>
  <si>
    <t>2ª Rodada de Vendas</t>
  </si>
  <si>
    <t>3ª Rodada de Vendas</t>
  </si>
  <si>
    <t>1ª Rodada de Vendas</t>
  </si>
  <si>
    <t>1ª Conf.</t>
  </si>
  <si>
    <t>2ª Conf.</t>
  </si>
  <si>
    <t>R$</t>
  </si>
  <si>
    <t>---------------------------------</t>
  </si>
  <si>
    <t>Quebras</t>
  </si>
  <si>
    <t>R$ Quebras</t>
  </si>
  <si>
    <t>Quant. Operadores Caixa</t>
  </si>
  <si>
    <t>Manutenção Equipamentos</t>
  </si>
  <si>
    <t>Folha Pagamento</t>
  </si>
  <si>
    <t>Preço da Cesta</t>
  </si>
  <si>
    <t>Operadores Serviço</t>
  </si>
  <si>
    <t>Quant. Operadores Serviço</t>
  </si>
  <si>
    <t>Qtd Ideal</t>
  </si>
  <si>
    <t>Resultado Testes</t>
  </si>
  <si>
    <t>Qtd Oper. Serviços</t>
  </si>
  <si>
    <t>Caixa</t>
  </si>
  <si>
    <t>Total Caixa R$</t>
  </si>
  <si>
    <t>CAPEX</t>
  </si>
  <si>
    <t>Saldo</t>
  </si>
  <si>
    <t>R$ Total Comprado</t>
  </si>
  <si>
    <t>% BR</t>
  </si>
  <si>
    <t>%GB</t>
  </si>
  <si>
    <t>%PZ</t>
  </si>
  <si>
    <t xml:space="preserve">Massa Mg Líquida </t>
  </si>
  <si>
    <t>Rodada Atacado</t>
  </si>
  <si>
    <t>Rodada</t>
  </si>
  <si>
    <t>% Venda</t>
  </si>
  <si>
    <t>Total Venda Perdida</t>
  </si>
  <si>
    <t>Giga</t>
  </si>
  <si>
    <t>%GG</t>
  </si>
  <si>
    <t>CAIXA R$</t>
  </si>
  <si>
    <t>(-) Estoque R$</t>
  </si>
  <si>
    <t>(-) CAPEX R$</t>
  </si>
  <si>
    <t>Saldo Caixa</t>
  </si>
  <si>
    <t>Preço Médio Cesta R$</t>
  </si>
  <si>
    <t>Disponibilidade %</t>
  </si>
  <si>
    <t>CSAT %</t>
  </si>
  <si>
    <t>% Participação nas Vendas</t>
  </si>
  <si>
    <t>1ª Configuração</t>
  </si>
  <si>
    <t>2ª Configuração</t>
  </si>
  <si>
    <t>Quant. Direcionada para Loja</t>
  </si>
  <si>
    <t>Quantidade da Venda</t>
  </si>
  <si>
    <t>Margem</t>
  </si>
  <si>
    <t>Aging</t>
  </si>
  <si>
    <t>Outros Gastos</t>
  </si>
  <si>
    <t>Efeito do Estoque</t>
  </si>
  <si>
    <t>Margem Final</t>
  </si>
  <si>
    <t>Resultado EBTIDA</t>
  </si>
  <si>
    <t>Massa Mg Final</t>
  </si>
  <si>
    <t>Juros s/ empréstimos</t>
  </si>
  <si>
    <t>% Aging</t>
  </si>
  <si>
    <t>Posição do Estoque</t>
  </si>
  <si>
    <t>Posição Inicial QTD</t>
  </si>
  <si>
    <t>Posição Final QTD</t>
  </si>
  <si>
    <t>Valor Final do Estoque</t>
  </si>
  <si>
    <t>Estoque Final R$</t>
  </si>
  <si>
    <t>R$ Aging</t>
  </si>
  <si>
    <t>Média</t>
  </si>
  <si>
    <t>Licenças de software</t>
  </si>
  <si>
    <t>Licença Software</t>
  </si>
  <si>
    <t>Sistema Operacional (por usuário)</t>
  </si>
  <si>
    <t>Site (Valor único)</t>
  </si>
  <si>
    <t>PDVs + Selfcheckout (Por Equipamento)</t>
  </si>
  <si>
    <t>Sistemas de segurança (Valor único)</t>
  </si>
  <si>
    <t>QTd</t>
  </si>
  <si>
    <t>Taxa Empréstimo (Mensal)</t>
  </si>
  <si>
    <t>Capex Self Checkout</t>
  </si>
  <si>
    <t xml:space="preserve">Estoque Disponível </t>
  </si>
  <si>
    <t>Etoque comprado</t>
  </si>
  <si>
    <t xml:space="preserve">Dados em UN </t>
  </si>
  <si>
    <t>Custo</t>
  </si>
  <si>
    <t>2 + SLA</t>
  </si>
  <si>
    <t>1 + SLA</t>
  </si>
  <si>
    <t>CAPEX Self Checkout</t>
  </si>
  <si>
    <t>Estoque Disponível</t>
  </si>
  <si>
    <t>Vendas esperada (QTD)</t>
  </si>
  <si>
    <t>Custo Folha/Mês</t>
  </si>
  <si>
    <t>Profissional</t>
  </si>
  <si>
    <t>Loja</t>
  </si>
  <si>
    <t>Preço Cesta</t>
  </si>
  <si>
    <t>Pontução</t>
  </si>
  <si>
    <t>% Demanda</t>
  </si>
  <si>
    <t>Gabarito prova conhecimento</t>
  </si>
  <si>
    <t>1 - C</t>
  </si>
  <si>
    <t>2 - C</t>
  </si>
  <si>
    <t>3 - C</t>
  </si>
  <si>
    <t>4 - A</t>
  </si>
  <si>
    <t>5 - A</t>
  </si>
  <si>
    <t>6 - D</t>
  </si>
  <si>
    <t>7 - B</t>
  </si>
  <si>
    <t>8 - D</t>
  </si>
  <si>
    <t>9 - C</t>
  </si>
  <si>
    <t>10 - A</t>
  </si>
  <si>
    <t>Sim</t>
  </si>
  <si>
    <t>Não</t>
  </si>
  <si>
    <t>GIGA</t>
  </si>
  <si>
    <t>Preço Atacado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</si>
</sst>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0_-;\-* #,##0.0000_-;_-* &quot;-&quot;??_-;_-@_-"/>
    <numFmt numFmtId="165" formatCode="0.0%"/>
    <numFmt numFmtId="166" formatCode="#,##0.00_ ;\-#,##0.00\ "/>
    <numFmt numFmtId="167" formatCode="#,##0_ ;\-#,##0\ "/>
    <numFmt numFmtId="168" formatCode="#,##0.00_ ;[Red]\-#,##0.00\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5" tint="0.39997558519241921"/>
      <name val="Aptos Narrow"/>
      <family val="2"/>
      <scheme val="minor"/>
    </font>
    <font>
      <b/>
      <sz val="12"/>
      <color theme="5" tint="0.3999755851924192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5" tint="0.3999755851924192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3" tint="0.89999084444715716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4">
    <xf numFmtId="0" fontId="0" fillId="0" borderId="0" xfId="0"/>
    <xf numFmtId="0" fontId="0" fillId="2" borderId="0" xfId="0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43" fontId="0" fillId="4" borderId="0" xfId="1" applyFont="1" applyFill="1" applyAlignment="1">
      <alignment horizontal="center"/>
    </xf>
    <xf numFmtId="43" fontId="2" fillId="4" borderId="0" xfId="0" applyNumberFormat="1" applyFont="1" applyFill="1"/>
    <xf numFmtId="10" fontId="0" fillId="4" borderId="0" xfId="0" applyNumberFormat="1" applyFill="1" applyAlignment="1">
      <alignment horizontal="center"/>
    </xf>
    <xf numFmtId="43" fontId="0" fillId="4" borderId="0" xfId="0" applyNumberFormat="1" applyFill="1"/>
    <xf numFmtId="43" fontId="2" fillId="4" borderId="0" xfId="0" applyNumberFormat="1" applyFont="1" applyFill="1" applyAlignment="1">
      <alignment horizontal="center"/>
    </xf>
    <xf numFmtId="9" fontId="2" fillId="4" borderId="0" xfId="2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2" fillId="4" borderId="0" xfId="0" applyFont="1" applyFill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43" fontId="2" fillId="4" borderId="0" xfId="1" applyFont="1" applyFill="1" applyAlignment="1">
      <alignment horizontal="center"/>
    </xf>
    <xf numFmtId="0" fontId="2" fillId="4" borderId="3" xfId="0" applyFont="1" applyFill="1" applyBorder="1"/>
    <xf numFmtId="43" fontId="2" fillId="4" borderId="3" xfId="1" applyFont="1" applyFill="1" applyBorder="1" applyAlignment="1">
      <alignment horizontal="center"/>
    </xf>
    <xf numFmtId="43" fontId="2" fillId="4" borderId="3" xfId="0" applyNumberFormat="1" applyFont="1" applyFill="1" applyBorder="1"/>
    <xf numFmtId="43" fontId="2" fillId="4" borderId="3" xfId="0" applyNumberFormat="1" applyFont="1" applyFill="1" applyBorder="1" applyAlignment="1">
      <alignment horizont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43" fontId="2" fillId="4" borderId="0" xfId="0" applyNumberFormat="1" applyFont="1" applyFill="1" applyAlignment="1">
      <alignment horizontal="center" vertical="center"/>
    </xf>
    <xf numFmtId="43" fontId="2" fillId="4" borderId="0" xfId="0" applyNumberFormat="1" applyFont="1" applyFill="1" applyAlignment="1">
      <alignment vertical="center"/>
    </xf>
    <xf numFmtId="43" fontId="0" fillId="4" borderId="0" xfId="0" applyNumberForma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43" fontId="8" fillId="4" borderId="0" xfId="0" applyNumberFormat="1" applyFont="1" applyFill="1" applyAlignment="1">
      <alignment horizontal="center" vertical="center"/>
    </xf>
    <xf numFmtId="43" fontId="8" fillId="4" borderId="0" xfId="0" applyNumberFormat="1" applyFont="1" applyFill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vertical="center"/>
    </xf>
    <xf numFmtId="43" fontId="2" fillId="4" borderId="3" xfId="0" applyNumberFormat="1" applyFont="1" applyFill="1" applyBorder="1" applyAlignment="1">
      <alignment horizontal="center" vertical="center"/>
    </xf>
    <xf numFmtId="43" fontId="2" fillId="4" borderId="3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9" fontId="2" fillId="4" borderId="4" xfId="2" applyFont="1" applyFill="1" applyBorder="1" applyAlignment="1">
      <alignment horizontal="center" vertical="center"/>
    </xf>
    <xf numFmtId="9" fontId="2" fillId="4" borderId="9" xfId="2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0" fontId="2" fillId="4" borderId="0" xfId="1" applyNumberFormat="1" applyFont="1" applyFill="1" applyAlignment="1">
      <alignment horizontal="center"/>
    </xf>
    <xf numFmtId="9" fontId="2" fillId="4" borderId="0" xfId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43" fontId="10" fillId="4" borderId="0" xfId="0" applyNumberFormat="1" applyFont="1" applyFill="1" applyAlignment="1">
      <alignment vertical="center"/>
    </xf>
    <xf numFmtId="9" fontId="10" fillId="4" borderId="0" xfId="0" applyNumberFormat="1" applyFont="1" applyFill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43" fontId="10" fillId="4" borderId="0" xfId="1" applyFont="1" applyFill="1" applyAlignment="1">
      <alignment vertical="center"/>
    </xf>
    <xf numFmtId="9" fontId="10" fillId="4" borderId="0" xfId="2" applyFont="1" applyFill="1" applyAlignment="1">
      <alignment vertical="center"/>
    </xf>
    <xf numFmtId="9" fontId="10" fillId="4" borderId="0" xfId="0" applyNumberFormat="1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4" borderId="3" xfId="0" applyFill="1" applyBorder="1"/>
    <xf numFmtId="0" fontId="11" fillId="0" borderId="0" xfId="0" applyFont="1"/>
    <xf numFmtId="0" fontId="13" fillId="4" borderId="0" xfId="0" applyFont="1" applyFill="1" applyAlignment="1">
      <alignment horizontal="center" vertical="center"/>
    </xf>
    <xf numFmtId="43" fontId="11" fillId="4" borderId="0" xfId="1" applyFont="1" applyFill="1" applyAlignment="1">
      <alignment horizontal="center" vertical="center"/>
    </xf>
    <xf numFmtId="43" fontId="11" fillId="4" borderId="3" xfId="1" applyFont="1" applyFill="1" applyBorder="1" applyAlignment="1">
      <alignment horizontal="center" vertical="center"/>
    </xf>
    <xf numFmtId="43" fontId="10" fillId="4" borderId="0" xfId="0" applyNumberFormat="1" applyFont="1" applyFill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/>
    </xf>
    <xf numFmtId="43" fontId="0" fillId="4" borderId="0" xfId="1" applyFont="1" applyFill="1"/>
    <xf numFmtId="9" fontId="0" fillId="4" borderId="0" xfId="2" applyFont="1" applyFill="1"/>
    <xf numFmtId="43" fontId="0" fillId="0" borderId="0" xfId="0" applyNumberFormat="1"/>
    <xf numFmtId="43" fontId="0" fillId="0" borderId="0" xfId="1" applyFont="1"/>
    <xf numFmtId="0" fontId="3" fillId="4" borderId="0" xfId="0" applyFont="1" applyFill="1" applyAlignment="1">
      <alignment horizontal="center"/>
    </xf>
    <xf numFmtId="43" fontId="2" fillId="0" borderId="0" xfId="0" applyNumberFormat="1" applyFont="1"/>
    <xf numFmtId="0" fontId="11" fillId="4" borderId="0" xfId="0" applyFont="1" applyFill="1"/>
    <xf numFmtId="0" fontId="13" fillId="4" borderId="0" xfId="0" applyFont="1" applyFill="1"/>
    <xf numFmtId="3" fontId="11" fillId="4" borderId="0" xfId="0" applyNumberFormat="1" applyFont="1" applyFill="1" applyAlignment="1">
      <alignment horizontal="center" vertical="center"/>
    </xf>
    <xf numFmtId="43" fontId="14" fillId="4" borderId="0" xfId="1" applyFont="1" applyFill="1" applyAlignment="1">
      <alignment horizontal="center" vertical="center"/>
    </xf>
    <xf numFmtId="0" fontId="16" fillId="4" borderId="0" xfId="0" applyFont="1" applyFill="1"/>
    <xf numFmtId="9" fontId="2" fillId="4" borderId="0" xfId="0" applyNumberFormat="1" applyFont="1" applyFill="1" applyAlignment="1">
      <alignment horizontal="center"/>
    </xf>
    <xf numFmtId="0" fontId="0" fillId="4" borderId="0" xfId="0" quotePrefix="1" applyFill="1"/>
    <xf numFmtId="9" fontId="0" fillId="2" borderId="0" xfId="2" applyFont="1" applyFill="1" applyAlignment="1">
      <alignment horizontal="center"/>
    </xf>
    <xf numFmtId="43" fontId="2" fillId="4" borderId="0" xfId="1" applyFont="1" applyFill="1"/>
    <xf numFmtId="43" fontId="3" fillId="4" borderId="0" xfId="1" applyFont="1" applyFill="1"/>
    <xf numFmtId="0" fontId="3" fillId="4" borderId="0" xfId="0" applyFont="1" applyFill="1" applyAlignment="1">
      <alignment horizontal="left"/>
    </xf>
    <xf numFmtId="10" fontId="2" fillId="4" borderId="0" xfId="0" applyNumberFormat="1" applyFont="1" applyFill="1"/>
    <xf numFmtId="9" fontId="15" fillId="4" borderId="0" xfId="1" applyNumberFormat="1" applyFont="1" applyFill="1" applyAlignment="1">
      <alignment horizontal="center" vertical="center"/>
    </xf>
    <xf numFmtId="165" fontId="16" fillId="4" borderId="0" xfId="2" applyNumberFormat="1" applyFont="1" applyFill="1" applyAlignment="1">
      <alignment horizontal="center" vertical="center"/>
    </xf>
    <xf numFmtId="165" fontId="14" fillId="4" borderId="0" xfId="0" applyNumberFormat="1" applyFont="1" applyFill="1" applyAlignment="1">
      <alignment horizontal="center" vertical="center"/>
    </xf>
    <xf numFmtId="165" fontId="16" fillId="4" borderId="0" xfId="0" applyNumberFormat="1" applyFont="1" applyFill="1" applyAlignment="1">
      <alignment horizontal="center" vertical="center"/>
    </xf>
    <xf numFmtId="165" fontId="15" fillId="4" borderId="0" xfId="2" applyNumberFormat="1" applyFont="1" applyFill="1" applyAlignment="1">
      <alignment horizontal="center" vertical="center"/>
    </xf>
    <xf numFmtId="3" fontId="2" fillId="4" borderId="0" xfId="0" applyNumberFormat="1" applyFont="1" applyFill="1"/>
    <xf numFmtId="3" fontId="0" fillId="4" borderId="0" xfId="0" applyNumberForma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9" fontId="0" fillId="4" borderId="0" xfId="0" applyNumberFormat="1" applyFill="1" applyAlignment="1">
      <alignment horizontal="center"/>
    </xf>
    <xf numFmtId="3" fontId="10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43" fontId="0" fillId="4" borderId="0" xfId="0" applyNumberForma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43" fontId="11" fillId="6" borderId="3" xfId="1" applyFont="1" applyFill="1" applyBorder="1" applyAlignment="1">
      <alignment horizontal="center" vertical="center"/>
    </xf>
    <xf numFmtId="43" fontId="11" fillId="6" borderId="0" xfId="1" applyFont="1" applyFill="1" applyAlignment="1">
      <alignment horizontal="center" vertical="center"/>
    </xf>
    <xf numFmtId="9" fontId="15" fillId="6" borderId="0" xfId="1" applyNumberFormat="1" applyFont="1" applyFill="1" applyAlignment="1">
      <alignment horizontal="center" vertical="center"/>
    </xf>
    <xf numFmtId="43" fontId="14" fillId="6" borderId="0" xfId="1" applyFont="1" applyFill="1" applyAlignment="1">
      <alignment horizontal="center" vertical="center"/>
    </xf>
    <xf numFmtId="165" fontId="16" fillId="6" borderId="0" xfId="2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center" vertical="center"/>
    </xf>
    <xf numFmtId="165" fontId="15" fillId="6" borderId="0" xfId="2" applyNumberFormat="1" applyFont="1" applyFill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/>
    </xf>
    <xf numFmtId="0" fontId="16" fillId="6" borderId="0" xfId="0" applyFont="1" applyFill="1"/>
    <xf numFmtId="0" fontId="11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7" borderId="3" xfId="0" applyFont="1" applyFill="1" applyBorder="1" applyAlignment="1">
      <alignment vertical="center"/>
    </xf>
    <xf numFmtId="0" fontId="11" fillId="7" borderId="0" xfId="0" applyFont="1" applyFill="1" applyAlignment="1">
      <alignment horizontal="left" vertical="center" indent="4"/>
    </xf>
    <xf numFmtId="0" fontId="11" fillId="7" borderId="0" xfId="0" applyFont="1" applyFill="1"/>
    <xf numFmtId="0" fontId="13" fillId="7" borderId="0" xfId="0" applyFont="1" applyFill="1"/>
    <xf numFmtId="0" fontId="11" fillId="4" borderId="0" xfId="0" applyFont="1" applyFill="1" applyAlignment="1">
      <alignment horizontal="center"/>
    </xf>
    <xf numFmtId="43" fontId="13" fillId="4" borderId="0" xfId="1" applyFont="1" applyFill="1" applyAlignment="1">
      <alignment horizontal="center"/>
    </xf>
    <xf numFmtId="0" fontId="13" fillId="4" borderId="3" xfId="0" applyFont="1" applyFill="1" applyBorder="1"/>
    <xf numFmtId="0" fontId="11" fillId="6" borderId="0" xfId="0" applyFont="1" applyFill="1" applyAlignment="1">
      <alignment horizontal="center"/>
    </xf>
    <xf numFmtId="43" fontId="13" fillId="6" borderId="0" xfId="1" applyFont="1" applyFill="1" applyAlignment="1">
      <alignment horizontal="center"/>
    </xf>
    <xf numFmtId="0" fontId="11" fillId="6" borderId="0" xfId="0" applyFont="1" applyFill="1"/>
    <xf numFmtId="0" fontId="12" fillId="5" borderId="1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indent="4"/>
    </xf>
    <xf numFmtId="0" fontId="15" fillId="4" borderId="3" xfId="0" applyFont="1" applyFill="1" applyBorder="1" applyAlignment="1">
      <alignment horizontal="left" vertical="center"/>
    </xf>
    <xf numFmtId="0" fontId="16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10" fontId="10" fillId="4" borderId="0" xfId="2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43" fontId="13" fillId="0" borderId="0" xfId="0" applyNumberFormat="1" applyFont="1" applyAlignment="1">
      <alignment horizontal="right"/>
    </xf>
    <xf numFmtId="9" fontId="13" fillId="0" borderId="0" xfId="0" applyNumberFormat="1" applyFont="1" applyAlignment="1">
      <alignment horizontal="right"/>
    </xf>
    <xf numFmtId="0" fontId="11" fillId="7" borderId="0" xfId="0" applyFont="1" applyFill="1" applyAlignment="1">
      <alignment horizontal="left" vertical="center"/>
    </xf>
    <xf numFmtId="9" fontId="11" fillId="4" borderId="0" xfId="2" applyFont="1" applyFill="1" applyAlignment="1">
      <alignment horizontal="center" vertical="center"/>
    </xf>
    <xf numFmtId="10" fontId="0" fillId="4" borderId="0" xfId="2" applyNumberFormat="1" applyFont="1" applyFill="1" applyAlignment="1">
      <alignment vertical="center"/>
    </xf>
    <xf numFmtId="165" fontId="2" fillId="4" borderId="0" xfId="2" applyNumberFormat="1" applyFont="1" applyFill="1" applyAlignment="1">
      <alignment vertical="center"/>
    </xf>
    <xf numFmtId="166" fontId="11" fillId="4" borderId="3" xfId="1" applyNumberFormat="1" applyFont="1" applyFill="1" applyBorder="1" applyAlignment="1">
      <alignment horizontal="right" vertical="center"/>
    </xf>
    <xf numFmtId="166" fontId="11" fillId="4" borderId="0" xfId="1" applyNumberFormat="1" applyFont="1" applyFill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14" fillId="4" borderId="0" xfId="1" applyNumberFormat="1" applyFont="1" applyFill="1" applyAlignment="1">
      <alignment horizontal="right" vertical="center"/>
    </xf>
    <xf numFmtId="166" fontId="16" fillId="4" borderId="0" xfId="1" applyNumberFormat="1" applyFont="1" applyFill="1" applyAlignment="1">
      <alignment horizontal="right" vertical="center"/>
    </xf>
    <xf numFmtId="166" fontId="16" fillId="4" borderId="0" xfId="0" applyNumberFormat="1" applyFont="1" applyFill="1" applyAlignment="1">
      <alignment horizontal="right" vertical="center"/>
    </xf>
    <xf numFmtId="166" fontId="15" fillId="4" borderId="0" xfId="1" applyNumberFormat="1" applyFont="1" applyFill="1" applyBorder="1" applyAlignment="1">
      <alignment horizontal="right" vertical="center"/>
    </xf>
    <xf numFmtId="166" fontId="14" fillId="4" borderId="0" xfId="0" applyNumberFormat="1" applyFont="1" applyFill="1" applyAlignment="1">
      <alignment horizontal="right" vertical="center"/>
    </xf>
    <xf numFmtId="166" fontId="16" fillId="4" borderId="0" xfId="0" applyNumberFormat="1" applyFont="1" applyFill="1" applyAlignment="1">
      <alignment horizontal="right"/>
    </xf>
    <xf numFmtId="166" fontId="15" fillId="4" borderId="0" xfId="0" applyNumberFormat="1" applyFont="1" applyFill="1" applyAlignment="1">
      <alignment horizontal="right"/>
    </xf>
    <xf numFmtId="166" fontId="16" fillId="4" borderId="0" xfId="1" applyNumberFormat="1" applyFont="1" applyFill="1" applyAlignment="1">
      <alignment horizontal="right"/>
    </xf>
    <xf numFmtId="166" fontId="11" fillId="6" borderId="3" xfId="1" applyNumberFormat="1" applyFont="1" applyFill="1" applyBorder="1" applyAlignment="1">
      <alignment horizontal="right" vertical="center"/>
    </xf>
    <xf numFmtId="166" fontId="11" fillId="6" borderId="0" xfId="1" applyNumberFormat="1" applyFont="1" applyFill="1" applyAlignment="1">
      <alignment horizontal="right" vertical="center"/>
    </xf>
    <xf numFmtId="166" fontId="15" fillId="6" borderId="0" xfId="1" applyNumberFormat="1" applyFont="1" applyFill="1" applyAlignment="1">
      <alignment horizontal="right" vertical="center"/>
    </xf>
    <xf numFmtId="166" fontId="14" fillId="6" borderId="0" xfId="1" applyNumberFormat="1" applyFont="1" applyFill="1" applyAlignment="1">
      <alignment horizontal="right" vertical="center"/>
    </xf>
    <xf numFmtId="166" fontId="16" fillId="6" borderId="0" xfId="1" applyNumberFormat="1" applyFont="1" applyFill="1" applyAlignment="1">
      <alignment horizontal="right" vertical="center"/>
    </xf>
    <xf numFmtId="166" fontId="16" fillId="6" borderId="0" xfId="0" applyNumberFormat="1" applyFont="1" applyFill="1" applyAlignment="1">
      <alignment horizontal="right" vertical="center"/>
    </xf>
    <xf numFmtId="166" fontId="15" fillId="6" borderId="0" xfId="1" applyNumberFormat="1" applyFont="1" applyFill="1" applyBorder="1" applyAlignment="1">
      <alignment horizontal="right" vertical="center"/>
    </xf>
    <xf numFmtId="166" fontId="14" fillId="6" borderId="0" xfId="0" applyNumberFormat="1" applyFont="1" applyFill="1" applyAlignment="1">
      <alignment horizontal="right" vertical="center"/>
    </xf>
    <xf numFmtId="166" fontId="16" fillId="6" borderId="0" xfId="0" applyNumberFormat="1" applyFont="1" applyFill="1" applyAlignment="1">
      <alignment horizontal="right"/>
    </xf>
    <xf numFmtId="166" fontId="15" fillId="6" borderId="0" xfId="0" applyNumberFormat="1" applyFont="1" applyFill="1" applyAlignment="1">
      <alignment horizontal="right"/>
    </xf>
    <xf numFmtId="166" fontId="16" fillId="6" borderId="0" xfId="1" applyNumberFormat="1" applyFont="1" applyFill="1" applyAlignment="1">
      <alignment horizontal="right"/>
    </xf>
    <xf numFmtId="166" fontId="11" fillId="4" borderId="3" xfId="0" applyNumberFormat="1" applyFont="1" applyFill="1" applyBorder="1" applyAlignment="1">
      <alignment horizontal="right" vertical="center"/>
    </xf>
    <xf numFmtId="166" fontId="11" fillId="4" borderId="0" xfId="0" applyNumberFormat="1" applyFont="1" applyFill="1" applyAlignment="1">
      <alignment horizontal="right" vertical="center"/>
    </xf>
    <xf numFmtId="166" fontId="11" fillId="6" borderId="3" xfId="0" applyNumberFormat="1" applyFont="1" applyFill="1" applyBorder="1" applyAlignment="1">
      <alignment horizontal="right" vertical="center"/>
    </xf>
    <xf numFmtId="166" fontId="11" fillId="6" borderId="0" xfId="0" applyNumberFormat="1" applyFont="1" applyFill="1" applyAlignment="1">
      <alignment horizontal="right" vertical="center"/>
    </xf>
    <xf numFmtId="168" fontId="15" fillId="4" borderId="0" xfId="1" applyNumberFormat="1" applyFont="1" applyFill="1" applyAlignment="1">
      <alignment horizontal="right" vertical="center"/>
    </xf>
    <xf numFmtId="168" fontId="15" fillId="6" borderId="0" xfId="1" applyNumberFormat="1" applyFont="1" applyFill="1" applyAlignment="1">
      <alignment horizontal="right" vertical="center"/>
    </xf>
    <xf numFmtId="0" fontId="13" fillId="0" borderId="0" xfId="0" applyFont="1"/>
    <xf numFmtId="165" fontId="13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43" fontId="13" fillId="0" borderId="0" xfId="1" applyFont="1" applyFill="1" applyAlignment="1">
      <alignment horizontal="center"/>
    </xf>
    <xf numFmtId="43" fontId="13" fillId="0" borderId="0" xfId="1" applyFont="1" applyFill="1" applyAlignment="1">
      <alignment horizontal="right"/>
    </xf>
    <xf numFmtId="0" fontId="13" fillId="0" borderId="0" xfId="0" applyFont="1" applyAlignment="1">
      <alignment vertical="center"/>
    </xf>
    <xf numFmtId="3" fontId="11" fillId="0" borderId="0" xfId="0" applyNumberFormat="1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43" fontId="13" fillId="0" borderId="0" xfId="1" applyFont="1" applyFill="1"/>
    <xf numFmtId="0" fontId="0" fillId="0" borderId="0" xfId="0" applyAlignment="1">
      <alignment horizontal="center"/>
    </xf>
    <xf numFmtId="0" fontId="2" fillId="0" borderId="0" xfId="0" applyFont="1"/>
    <xf numFmtId="0" fontId="19" fillId="8" borderId="0" xfId="0" applyFont="1" applyFill="1"/>
    <xf numFmtId="0" fontId="19" fillId="8" borderId="0" xfId="0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9" fontId="2" fillId="0" borderId="0" xfId="2" applyFont="1" applyFill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1" fillId="0" borderId="0" xfId="1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9" fillId="8" borderId="15" xfId="0" applyFont="1" applyFill="1" applyBorder="1"/>
    <xf numFmtId="0" fontId="19" fillId="8" borderId="12" xfId="0" applyFont="1" applyFill="1" applyBorder="1" applyAlignment="1">
      <alignment horizontal="center"/>
    </xf>
    <xf numFmtId="0" fontId="19" fillId="8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43" fontId="0" fillId="0" borderId="3" xfId="1" applyFont="1" applyFill="1" applyBorder="1" applyAlignment="1">
      <alignment horizontal="center"/>
    </xf>
    <xf numFmtId="43" fontId="0" fillId="0" borderId="20" xfId="1" applyFont="1" applyFill="1" applyBorder="1" applyAlignment="1">
      <alignment horizontal="center"/>
    </xf>
    <xf numFmtId="0" fontId="19" fillId="8" borderId="16" xfId="0" applyFont="1" applyFill="1" applyBorder="1"/>
    <xf numFmtId="0" fontId="20" fillId="0" borderId="0" xfId="0" applyFont="1" applyAlignment="1">
      <alignment horizontal="center" vertical="center"/>
    </xf>
    <xf numFmtId="43" fontId="0" fillId="0" borderId="18" xfId="1" applyFont="1" applyFill="1" applyBorder="1"/>
    <xf numFmtId="0" fontId="2" fillId="0" borderId="3" xfId="0" applyFont="1" applyBorder="1"/>
    <xf numFmtId="43" fontId="2" fillId="0" borderId="20" xfId="1" applyFont="1" applyFill="1" applyBorder="1"/>
    <xf numFmtId="43" fontId="0" fillId="0" borderId="20" xfId="1" applyFont="1" applyFill="1" applyBorder="1"/>
    <xf numFmtId="0" fontId="20" fillId="0" borderId="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8" borderId="8" xfId="0" applyFont="1" applyFill="1" applyBorder="1"/>
    <xf numFmtId="0" fontId="19" fillId="8" borderId="14" xfId="0" applyFont="1" applyFill="1" applyBorder="1"/>
    <xf numFmtId="0" fontId="19" fillId="8" borderId="12" xfId="0" applyFont="1" applyFill="1" applyBorder="1"/>
    <xf numFmtId="3" fontId="0" fillId="0" borderId="3" xfId="1" applyNumberFormat="1" applyFont="1" applyFill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9" fontId="1" fillId="0" borderId="3" xfId="2" applyFont="1" applyFill="1" applyBorder="1" applyAlignment="1">
      <alignment horizontal="center"/>
    </xf>
    <xf numFmtId="9" fontId="1" fillId="0" borderId="20" xfId="2" applyFont="1" applyFill="1" applyBorder="1" applyAlignment="1">
      <alignment horizontal="center"/>
    </xf>
    <xf numFmtId="9" fontId="1" fillId="0" borderId="0" xfId="2" applyFont="1" applyFill="1" applyBorder="1" applyAlignment="1">
      <alignment horizontal="center"/>
    </xf>
    <xf numFmtId="165" fontId="1" fillId="0" borderId="0" xfId="2" applyNumberFormat="1" applyFont="1" applyFill="1" applyBorder="1" applyAlignment="1">
      <alignment horizontal="center"/>
    </xf>
    <xf numFmtId="165" fontId="1" fillId="0" borderId="18" xfId="2" applyNumberFormat="1" applyFont="1" applyFill="1" applyBorder="1" applyAlignment="1">
      <alignment horizontal="center"/>
    </xf>
    <xf numFmtId="165" fontId="1" fillId="0" borderId="3" xfId="2" applyNumberFormat="1" applyFont="1" applyFill="1" applyBorder="1" applyAlignment="1">
      <alignment horizontal="center"/>
    </xf>
    <xf numFmtId="165" fontId="1" fillId="0" borderId="20" xfId="2" applyNumberFormat="1" applyFont="1" applyFill="1" applyBorder="1" applyAlignment="1">
      <alignment horizontal="center"/>
    </xf>
    <xf numFmtId="0" fontId="2" fillId="0" borderId="8" xfId="0" applyFont="1" applyBorder="1"/>
    <xf numFmtId="43" fontId="2" fillId="0" borderId="9" xfId="1" applyFont="1" applyFill="1" applyBorder="1"/>
    <xf numFmtId="43" fontId="0" fillId="0" borderId="18" xfId="1" applyFont="1" applyBorder="1"/>
    <xf numFmtId="43" fontId="0" fillId="0" borderId="20" xfId="1" applyFont="1" applyBorder="1"/>
    <xf numFmtId="4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43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0" borderId="18" xfId="2" applyFont="1" applyBorder="1" applyAlignment="1">
      <alignment horizontal="center"/>
    </xf>
    <xf numFmtId="9" fontId="0" fillId="0" borderId="20" xfId="2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9" fontId="2" fillId="0" borderId="9" xfId="2" applyFont="1" applyFill="1" applyBorder="1" applyAlignment="1">
      <alignment horizontal="center"/>
    </xf>
    <xf numFmtId="43" fontId="0" fillId="4" borderId="0" xfId="0" applyNumberFormat="1" applyFill="1" applyAlignment="1">
      <alignment horizontal="center"/>
    </xf>
    <xf numFmtId="165" fontId="2" fillId="4" borderId="0" xfId="2" applyNumberFormat="1" applyFont="1" applyFill="1" applyAlignment="1">
      <alignment horizontal="center"/>
    </xf>
    <xf numFmtId="43" fontId="10" fillId="3" borderId="0" xfId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166" fontId="11" fillId="4" borderId="0" xfId="1" applyNumberFormat="1" applyFont="1" applyFill="1" applyAlignment="1">
      <alignment horizontal="right"/>
    </xf>
    <xf numFmtId="168" fontId="13" fillId="4" borderId="0" xfId="1" applyNumberFormat="1" applyFont="1" applyFill="1" applyAlignment="1">
      <alignment horizontal="right"/>
    </xf>
    <xf numFmtId="166" fontId="13" fillId="6" borderId="0" xfId="0" applyNumberFormat="1" applyFont="1" applyFill="1" applyAlignment="1">
      <alignment horizontal="right"/>
    </xf>
    <xf numFmtId="166" fontId="11" fillId="6" borderId="0" xfId="0" applyNumberFormat="1" applyFont="1" applyFill="1" applyAlignment="1">
      <alignment horizontal="right"/>
    </xf>
    <xf numFmtId="168" fontId="13" fillId="6" borderId="0" xfId="1" applyNumberFormat="1" applyFont="1" applyFill="1" applyAlignment="1">
      <alignment horizontal="right"/>
    </xf>
    <xf numFmtId="0" fontId="12" fillId="5" borderId="10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/>
    </xf>
    <xf numFmtId="166" fontId="13" fillId="4" borderId="0" xfId="0" applyNumberFormat="1" applyFont="1" applyFill="1" applyAlignment="1">
      <alignment horizontal="right"/>
    </xf>
    <xf numFmtId="166" fontId="11" fillId="6" borderId="0" xfId="1" applyNumberFormat="1" applyFont="1" applyFill="1" applyAlignment="1">
      <alignment horizontal="right"/>
    </xf>
    <xf numFmtId="166" fontId="13" fillId="4" borderId="0" xfId="1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43" fontId="11" fillId="0" borderId="0" xfId="0" applyNumberFormat="1" applyFont="1" applyAlignment="1">
      <alignment horizontal="right"/>
    </xf>
    <xf numFmtId="9" fontId="11" fillId="0" borderId="3" xfId="0" applyNumberFormat="1" applyFont="1" applyBorder="1" applyAlignment="1">
      <alignment horizontal="right"/>
    </xf>
    <xf numFmtId="165" fontId="13" fillId="0" borderId="12" xfId="0" applyNumberFormat="1" applyFont="1" applyBorder="1" applyAlignment="1">
      <alignment horizontal="right"/>
    </xf>
    <xf numFmtId="43" fontId="11" fillId="0" borderId="0" xfId="2" applyNumberFormat="1" applyFont="1" applyFill="1" applyAlignment="1">
      <alignment horizontal="right"/>
    </xf>
    <xf numFmtId="9" fontId="11" fillId="0" borderId="3" xfId="1" applyNumberFormat="1" applyFont="1" applyFill="1" applyBorder="1" applyAlignment="1">
      <alignment horizontal="right"/>
    </xf>
    <xf numFmtId="9" fontId="11" fillId="4" borderId="0" xfId="0" applyNumberFormat="1" applyFont="1" applyFill="1" applyAlignment="1">
      <alignment horizontal="right"/>
    </xf>
    <xf numFmtId="43" fontId="11" fillId="4" borderId="0" xfId="0" applyNumberFormat="1" applyFont="1" applyFill="1" applyAlignment="1">
      <alignment horizontal="right"/>
    </xf>
    <xf numFmtId="9" fontId="11" fillId="4" borderId="3" xfId="0" applyNumberFormat="1" applyFont="1" applyFill="1" applyBorder="1" applyAlignment="1">
      <alignment horizontal="right"/>
    </xf>
    <xf numFmtId="165" fontId="13" fillId="4" borderId="12" xfId="0" applyNumberFormat="1" applyFont="1" applyFill="1" applyBorder="1" applyAlignment="1">
      <alignment horizontal="right"/>
    </xf>
    <xf numFmtId="9" fontId="11" fillId="6" borderId="0" xfId="0" applyNumberFormat="1" applyFont="1" applyFill="1" applyAlignment="1">
      <alignment horizontal="right"/>
    </xf>
    <xf numFmtId="43" fontId="11" fillId="6" borderId="0" xfId="0" applyNumberFormat="1" applyFont="1" applyFill="1" applyAlignment="1">
      <alignment horizontal="right"/>
    </xf>
    <xf numFmtId="9" fontId="11" fillId="6" borderId="3" xfId="0" applyNumberFormat="1" applyFont="1" applyFill="1" applyBorder="1" applyAlignment="1">
      <alignment horizontal="right"/>
    </xf>
    <xf numFmtId="165" fontId="13" fillId="6" borderId="12" xfId="0" applyNumberFormat="1" applyFont="1" applyFill="1" applyBorder="1" applyAlignment="1">
      <alignment horizontal="right"/>
    </xf>
    <xf numFmtId="43" fontId="11" fillId="4" borderId="0" xfId="2" applyNumberFormat="1" applyFont="1" applyFill="1" applyAlignment="1">
      <alignment horizontal="right"/>
    </xf>
    <xf numFmtId="9" fontId="11" fillId="4" borderId="3" xfId="1" applyNumberFormat="1" applyFont="1" applyFill="1" applyBorder="1" applyAlignment="1">
      <alignment horizontal="right"/>
    </xf>
    <xf numFmtId="43" fontId="11" fillId="6" borderId="0" xfId="2" applyNumberFormat="1" applyFont="1" applyFill="1" applyAlignment="1">
      <alignment horizontal="right"/>
    </xf>
    <xf numFmtId="9" fontId="11" fillId="6" borderId="3" xfId="1" applyNumberFormat="1" applyFont="1" applyFill="1" applyBorder="1" applyAlignment="1">
      <alignment horizontal="right"/>
    </xf>
    <xf numFmtId="167" fontId="11" fillId="4" borderId="0" xfId="1" applyNumberFormat="1" applyFont="1" applyFill="1" applyAlignment="1">
      <alignment horizontal="right"/>
    </xf>
    <xf numFmtId="167" fontId="11" fillId="6" borderId="0" xfId="1" applyNumberFormat="1" applyFont="1" applyFill="1" applyAlignment="1">
      <alignment horizontal="right"/>
    </xf>
    <xf numFmtId="167" fontId="11" fillId="6" borderId="0" xfId="0" applyNumberFormat="1" applyFont="1" applyFill="1" applyAlignment="1">
      <alignment horizontal="right"/>
    </xf>
    <xf numFmtId="167" fontId="13" fillId="4" borderId="3" xfId="0" applyNumberFormat="1" applyFont="1" applyFill="1" applyBorder="1" applyAlignment="1">
      <alignment horizontal="right"/>
    </xf>
    <xf numFmtId="167" fontId="13" fillId="6" borderId="3" xfId="0" applyNumberFormat="1" applyFont="1" applyFill="1" applyBorder="1" applyAlignment="1">
      <alignment horizontal="right"/>
    </xf>
    <xf numFmtId="167" fontId="13" fillId="4" borderId="3" xfId="1" applyNumberFormat="1" applyFont="1" applyFill="1" applyBorder="1" applyAlignment="1">
      <alignment horizontal="right"/>
    </xf>
    <xf numFmtId="167" fontId="13" fillId="4" borderId="0" xfId="1" applyNumberFormat="1" applyFont="1" applyFill="1" applyAlignment="1">
      <alignment horizontal="right"/>
    </xf>
    <xf numFmtId="167" fontId="13" fillId="6" borderId="0" xfId="1" applyNumberFormat="1" applyFont="1" applyFill="1" applyAlignment="1">
      <alignment horizontal="right"/>
    </xf>
    <xf numFmtId="43" fontId="13" fillId="4" borderId="0" xfId="0" applyNumberFormat="1" applyFont="1" applyFill="1" applyAlignment="1">
      <alignment horizontal="right"/>
    </xf>
    <xf numFmtId="9" fontId="13" fillId="4" borderId="0" xfId="0" applyNumberFormat="1" applyFont="1" applyFill="1" applyAlignment="1">
      <alignment horizontal="right"/>
    </xf>
    <xf numFmtId="43" fontId="13" fillId="6" borderId="0" xfId="0" applyNumberFormat="1" applyFont="1" applyFill="1" applyAlignment="1">
      <alignment horizontal="right"/>
    </xf>
    <xf numFmtId="9" fontId="13" fillId="6" borderId="0" xfId="0" applyNumberFormat="1" applyFont="1" applyFill="1" applyAlignment="1">
      <alignment horizontal="right"/>
    </xf>
    <xf numFmtId="167" fontId="13" fillId="6" borderId="0" xfId="0" applyNumberFormat="1" applyFont="1" applyFill="1" applyAlignment="1">
      <alignment horizontal="right"/>
    </xf>
    <xf numFmtId="3" fontId="11" fillId="4" borderId="0" xfId="0" applyNumberFormat="1" applyFont="1" applyFill="1" applyAlignment="1">
      <alignment horizontal="center" vertical="center"/>
    </xf>
    <xf numFmtId="43" fontId="13" fillId="4" borderId="0" xfId="1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43" fontId="13" fillId="6" borderId="0" xfId="1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496602</xdr:colOff>
      <xdr:row>0</xdr:row>
      <xdr:rowOff>121920</xdr:rowOff>
    </xdr:from>
    <xdr:to>
      <xdr:col>32</xdr:col>
      <xdr:colOff>362401</xdr:colOff>
      <xdr:row>41</xdr:row>
      <xdr:rowOff>946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200107-4AB8-86E9-F001-9782240B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30322" y="121920"/>
          <a:ext cx="4190149" cy="74228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anderley, Gabriel Junior Izidro" id="{BACF085A-531B-41D9-9555-A28C86AA4629}" userId="S::Gabriel.Wanderley@cencosud.com.br::15613f45-fb29-462b-9fb0-9401f71703f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3-19T00:28:59.67" personId="{BACF085A-531B-41D9-9555-A28C86AA4629}" id="{E7C1B8F1-B04F-4BD1-9A9B-BC5C96E9925E}">
    <text>Preço médio dos produtos das categorias</text>
  </threadedComment>
  <threadedComment ref="C1" dT="2025-03-19T00:29:56.66" personId="{BACF085A-531B-41D9-9555-A28C86AA4629}" id="{005F1DE9-FF64-452D-960E-4B639BA2A440}">
    <text>Ter um planilha com uma lista de produtos e a compra deverá ser distribuída entre eles, com isso veremos a quantidade de produtos que faltarão.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5-03-19T00:28:59.67" personId="{BACF085A-531B-41D9-9555-A28C86AA4629}" id="{82ED73D3-9A92-413F-A6AB-8806F881EC7B}">
    <text>Preço médio dos produtos das categorias</text>
  </threadedComment>
  <threadedComment ref="C1" dT="2025-03-19T00:29:56.66" personId="{BACF085A-531B-41D9-9555-A28C86AA4629}" id="{30120A87-22D2-4A3F-8141-B44B36B7D0EA}">
    <text>Ter um planilha com uma lista de produtos e a compra deverá ser distribuída entre eles, com isso veremos a quantidade de produtos que faltarão.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8" dT="2025-03-24T13:50:14.51" personId="{BACF085A-531B-41D9-9555-A28C86AA4629}" id="{43BDDD38-E38A-494D-BEFF-5D0909F4602A}">
    <text>Só afeta Perecíveis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38" dT="2025-03-24T13:50:14.51" personId="{BACF085A-531B-41D9-9555-A28C86AA4629}" id="{F8A65779-6CE2-4D3C-A0EC-D095569375DD}">
    <text>Só afeta Perecíveis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38" dT="2025-03-24T13:50:14.51" personId="{BACF085A-531B-41D9-9555-A28C86AA4629}" id="{F1AA93A9-5508-4905-8490-3AA034AD79D2}">
    <text>Só afeta Perecíveis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38" dT="2025-03-24T13:50:14.51" personId="{BACF085A-531B-41D9-9555-A28C86AA4629}" id="{4D794091-0C63-47AF-8BB3-15DB1FC9C5CF}">
    <text>Só afeta Perecíveis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E360-7FA1-4A64-888E-EE4540ACFC34}">
  <dimension ref="A1:P22"/>
  <sheetViews>
    <sheetView showGridLines="0" tabSelected="1" workbookViewId="0">
      <selection activeCell="A2" sqref="A2:E5"/>
    </sheetView>
  </sheetViews>
  <sheetFormatPr defaultRowHeight="18" x14ac:dyDescent="0.3"/>
  <cols>
    <col min="1" max="1" width="20.77734375" style="52" customWidth="1"/>
    <col min="2" max="2" width="24.21875" style="52" bestFit="1" customWidth="1"/>
    <col min="3" max="3" width="19.21875" style="52" customWidth="1"/>
    <col min="4" max="4" width="7.33203125" style="52" bestFit="1" customWidth="1"/>
    <col min="5" max="5" width="20.44140625" style="53" customWidth="1"/>
    <col min="6" max="6" width="7.109375" style="52" bestFit="1" customWidth="1"/>
    <col min="7" max="7" width="21" style="53" customWidth="1"/>
    <col min="8" max="8" width="5.5546875" style="53" customWidth="1"/>
    <col min="9" max="9" width="5.44140625" style="53" customWidth="1"/>
    <col min="10" max="10" width="6.109375" style="53" customWidth="1"/>
    <col min="11" max="11" width="8.88671875" style="52" customWidth="1"/>
    <col min="12" max="12" width="8.21875" style="52" customWidth="1"/>
    <col min="13" max="13" width="23.44140625" style="52" customWidth="1"/>
    <col min="14" max="14" width="17.21875" style="52" customWidth="1"/>
    <col min="15" max="15" width="9.6640625" style="52" customWidth="1"/>
    <col min="16" max="16" width="12.109375" style="52" customWidth="1"/>
    <col min="17" max="16384" width="8.88671875" style="52"/>
  </cols>
  <sheetData>
    <row r="1" spans="1:16" ht="42" customHeight="1" x14ac:dyDescent="0.3">
      <c r="A1" s="49"/>
      <c r="B1" s="50" t="s">
        <v>14</v>
      </c>
      <c r="C1" s="50" t="s">
        <v>15</v>
      </c>
      <c r="D1" s="50" t="s">
        <v>61</v>
      </c>
      <c r="E1" s="51" t="s">
        <v>65</v>
      </c>
      <c r="G1" s="53" t="s">
        <v>18</v>
      </c>
      <c r="H1" s="53" t="s">
        <v>19</v>
      </c>
      <c r="I1" s="53" t="s">
        <v>61</v>
      </c>
      <c r="J1" s="53" t="s">
        <v>20</v>
      </c>
      <c r="M1" s="52" t="s">
        <v>14</v>
      </c>
      <c r="N1" s="52" t="s">
        <v>15</v>
      </c>
      <c r="O1" s="52" t="s">
        <v>16</v>
      </c>
      <c r="P1" s="52" t="s">
        <v>17</v>
      </c>
    </row>
    <row r="2" spans="1:16" ht="25.05" customHeight="1" x14ac:dyDescent="0.3">
      <c r="A2" s="49" t="s">
        <v>1</v>
      </c>
      <c r="B2" s="54">
        <f>Bretas!J11</f>
        <v>868.9731359455418</v>
      </c>
      <c r="C2" s="55">
        <f>Bretas!J10</f>
        <v>0.25</v>
      </c>
      <c r="D2" s="55">
        <f>Bretas!J5</f>
        <v>0.8</v>
      </c>
      <c r="E2" s="127">
        <f>ROUND(J2/$J$6,3)</f>
        <v>0.41399999999999998</v>
      </c>
      <c r="G2" s="53">
        <f>IFERROR(_xlfn.XLOOKUP(B2,M:M,P:P),IF(B2&gt;$M$4,2,3))</f>
        <v>4</v>
      </c>
      <c r="H2" s="53">
        <f>IFERROR(_xlfn.XLOOKUP(C2,N:N,P:P),IF(C2&gt;$N$4,2,3))</f>
        <v>4</v>
      </c>
      <c r="I2" s="53">
        <f>IFERROR(_xlfn.XLOOKUP(D2,O:O,P:P),IF(D2&gt;$O$4,2,3))</f>
        <v>4</v>
      </c>
      <c r="J2" s="53">
        <f>SUM(G2:I2)</f>
        <v>12</v>
      </c>
      <c r="L2" s="52" t="s">
        <v>47</v>
      </c>
      <c r="M2" s="57">
        <f>SMALL(B2:B5,1)</f>
        <v>868.9731359455418</v>
      </c>
      <c r="N2" s="58">
        <f>LARGE(C2:C5,1)</f>
        <v>0.25</v>
      </c>
      <c r="O2" s="58">
        <f>LARGE(D2:D5,1)</f>
        <v>0.8</v>
      </c>
      <c r="P2" s="52">
        <v>4</v>
      </c>
    </row>
    <row r="3" spans="1:16" ht="25.05" customHeight="1" x14ac:dyDescent="0.3">
      <c r="A3" s="49" t="s">
        <v>0</v>
      </c>
      <c r="B3" s="54">
        <f>GBarbosa!J11</f>
        <v>992.90028147781743</v>
      </c>
      <c r="C3" s="55">
        <f>GBarbosa!J10</f>
        <v>0.24713375796178344</v>
      </c>
      <c r="D3" s="55">
        <f>GBarbosa!J5</f>
        <v>0.42</v>
      </c>
      <c r="E3" s="127">
        <f t="shared" ref="E3:E5" si="0">ROUND(J3/$J$6,3)</f>
        <v>0.20699999999999999</v>
      </c>
      <c r="G3" s="53">
        <f>IFERROR(_xlfn.XLOOKUP(B3,M:M,P:P),IF(B3&gt;$M$4,2,3))</f>
        <v>1</v>
      </c>
      <c r="H3" s="53">
        <f t="shared" ref="H3:H5" si="1">IFERROR(_xlfn.XLOOKUP(C3,N:N,P:P),IF(C3&gt;$N$4,2,3))</f>
        <v>2</v>
      </c>
      <c r="I3" s="53">
        <f t="shared" ref="I3:I5" si="2">IFERROR(_xlfn.XLOOKUP(D3,O:O,P:P),IF(D3&gt;$O$4,2,3))</f>
        <v>3</v>
      </c>
      <c r="J3" s="53">
        <f t="shared" ref="J3:J5" si="3">SUM(G3:I3)</f>
        <v>6</v>
      </c>
      <c r="L3" s="52" t="s">
        <v>48</v>
      </c>
      <c r="M3" s="57">
        <f>LARGE(B2:B5,1)</f>
        <v>992.90028147781743</v>
      </c>
      <c r="N3" s="58">
        <f>SMALL(C2:C5,1)</f>
        <v>0.2</v>
      </c>
      <c r="O3" s="58">
        <f>SMALL(D2:D5,1)</f>
        <v>0.2</v>
      </c>
      <c r="P3" s="52">
        <v>1</v>
      </c>
    </row>
    <row r="4" spans="1:16" ht="25.05" customHeight="1" x14ac:dyDescent="0.3">
      <c r="A4" s="49" t="s">
        <v>2</v>
      </c>
      <c r="B4" s="54">
        <f>Prezunic!J11</f>
        <v>991.77266249749732</v>
      </c>
      <c r="C4" s="55">
        <f>Prezunic!J10</f>
        <v>0.2</v>
      </c>
      <c r="D4" s="55">
        <f>Prezunic!J5</f>
        <v>0.2</v>
      </c>
      <c r="E4" s="127">
        <f t="shared" si="0"/>
        <v>0.13800000000000001</v>
      </c>
      <c r="G4" s="53">
        <f>IFERROR(_xlfn.XLOOKUP(B4,M:M,P:P),IF(B4&gt;$M$4,2,3))</f>
        <v>2</v>
      </c>
      <c r="H4" s="53">
        <f t="shared" si="1"/>
        <v>1</v>
      </c>
      <c r="I4" s="53">
        <f t="shared" si="2"/>
        <v>1</v>
      </c>
      <c r="J4" s="53">
        <f t="shared" si="3"/>
        <v>4</v>
      </c>
      <c r="L4" s="52" t="s">
        <v>136</v>
      </c>
      <c r="M4" s="54">
        <f>AVERAGE(B2:B5)</f>
        <v>952.97553115688561</v>
      </c>
      <c r="N4" s="58">
        <f>AVERAGE(C2:C5)</f>
        <v>0.23670382165605097</v>
      </c>
      <c r="O4" s="58">
        <f>AVERAGE(D2:D5)</f>
        <v>0.43</v>
      </c>
      <c r="P4" s="54"/>
    </row>
    <row r="5" spans="1:16" ht="25.05" customHeight="1" x14ac:dyDescent="0.3">
      <c r="A5" s="49" t="s">
        <v>107</v>
      </c>
      <c r="B5" s="54">
        <f>Giga!J11</f>
        <v>958.256044706686</v>
      </c>
      <c r="C5" s="55">
        <f>Giga!J10</f>
        <v>0.24968152866242038</v>
      </c>
      <c r="D5" s="55">
        <f>Giga!J5</f>
        <v>0.3</v>
      </c>
      <c r="E5" s="127">
        <f t="shared" si="0"/>
        <v>0.24099999999999999</v>
      </c>
      <c r="G5" s="53">
        <f>IFERROR(_xlfn.XLOOKUP(B5,M:M,P:P),IF(B5&gt;$M$4,2,3))</f>
        <v>2</v>
      </c>
      <c r="H5" s="53">
        <f t="shared" si="1"/>
        <v>2</v>
      </c>
      <c r="I5" s="53">
        <f t="shared" si="2"/>
        <v>3</v>
      </c>
      <c r="J5" s="53">
        <f t="shared" si="3"/>
        <v>7</v>
      </c>
    </row>
    <row r="6" spans="1:16" ht="25.05" customHeight="1" thickBot="1" x14ac:dyDescent="0.35">
      <c r="B6" s="54"/>
      <c r="C6" s="59"/>
      <c r="D6" s="59"/>
      <c r="E6" s="56"/>
      <c r="J6" s="53">
        <f>SUM(J2:J5)</f>
        <v>29</v>
      </c>
    </row>
    <row r="7" spans="1:16" ht="25.05" customHeight="1" x14ac:dyDescent="0.3">
      <c r="A7" s="231" t="s">
        <v>78</v>
      </c>
      <c r="B7" s="232"/>
      <c r="C7" s="232"/>
      <c r="D7" s="232"/>
      <c r="E7" s="232"/>
      <c r="F7" s="233"/>
    </row>
    <row r="8" spans="1:16" ht="25.05" customHeight="1" x14ac:dyDescent="0.3">
      <c r="A8" s="49" t="s">
        <v>21</v>
      </c>
      <c r="B8" s="60" t="s">
        <v>3</v>
      </c>
      <c r="C8" s="60" t="s">
        <v>4</v>
      </c>
      <c r="D8" s="60" t="s">
        <v>5</v>
      </c>
      <c r="E8" s="60" t="s">
        <v>6</v>
      </c>
      <c r="F8" s="60" t="s">
        <v>20</v>
      </c>
    </row>
    <row r="9" spans="1:16" ht="25.05" customHeight="1" x14ac:dyDescent="0.3">
      <c r="A9" s="52" t="s">
        <v>49</v>
      </c>
      <c r="B9" s="53">
        <f>'Dados de apoio'!H13</f>
        <v>2000</v>
      </c>
      <c r="C9" s="53">
        <f>'Dados de apoio'!I13</f>
        <v>3000</v>
      </c>
      <c r="D9" s="53">
        <f>'Dados de apoio'!J13</f>
        <v>350</v>
      </c>
      <c r="E9" s="53">
        <f>'Dados de apoio'!K13</f>
        <v>2500</v>
      </c>
      <c r="F9" s="49">
        <f>SUM(B9:E9)</f>
        <v>7850</v>
      </c>
    </row>
    <row r="10" spans="1:16" ht="25.05" customHeight="1" x14ac:dyDescent="0.3"/>
    <row r="11" spans="1:16" ht="25.05" customHeight="1" x14ac:dyDescent="0.3">
      <c r="A11" s="49" t="s">
        <v>1</v>
      </c>
      <c r="B11" s="53">
        <f>ROUND(B$9*$E2,0)</f>
        <v>828</v>
      </c>
      <c r="C11" s="53">
        <f>ROUND(C$9*$E2,0)</f>
        <v>1242</v>
      </c>
      <c r="D11" s="53">
        <f>ROUND(D$9*$E2,0)</f>
        <v>145</v>
      </c>
      <c r="E11" s="53">
        <f>ROUND(E$9*$E2,0)</f>
        <v>1035</v>
      </c>
      <c r="F11" s="49">
        <f t="shared" ref="F11:F13" si="4">SUM(B11:E11)</f>
        <v>3250</v>
      </c>
      <c r="G11" s="283" t="str">
        <f>$A$9&amp;A11</f>
        <v>Rodada 1Bretas</v>
      </c>
    </row>
    <row r="12" spans="1:16" ht="25.05" customHeight="1" x14ac:dyDescent="0.3">
      <c r="A12" s="49" t="s">
        <v>0</v>
      </c>
      <c r="B12" s="53">
        <f>ROUND($B$9*E3,0)</f>
        <v>414</v>
      </c>
      <c r="C12" s="53">
        <f>ROUND(C$9*$E3,0)</f>
        <v>621</v>
      </c>
      <c r="D12" s="53">
        <f>ROUND(D$9*$E3,0)</f>
        <v>72</v>
      </c>
      <c r="E12" s="53">
        <f>ROUND(E$9*$E3,0)</f>
        <v>518</v>
      </c>
      <c r="F12" s="49">
        <f t="shared" si="4"/>
        <v>1625</v>
      </c>
      <c r="G12" s="283" t="str">
        <f t="shared" ref="G12:G13" si="5">$A$9&amp;A12</f>
        <v>Rodada 1GBarbosa</v>
      </c>
    </row>
    <row r="13" spans="1:16" ht="25.05" customHeight="1" x14ac:dyDescent="0.3">
      <c r="A13" s="49" t="s">
        <v>2</v>
      </c>
      <c r="B13" s="53">
        <f t="shared" ref="B13" si="6">ROUND($B$9*E4,0)</f>
        <v>276</v>
      </c>
      <c r="C13" s="53">
        <f t="shared" ref="C13:E13" si="7">ROUND(C$9*$E4,0)</f>
        <v>414</v>
      </c>
      <c r="D13" s="53">
        <f t="shared" si="7"/>
        <v>48</v>
      </c>
      <c r="E13" s="53">
        <f t="shared" si="7"/>
        <v>345</v>
      </c>
      <c r="F13" s="49">
        <f t="shared" si="4"/>
        <v>1083</v>
      </c>
      <c r="G13" s="283" t="str">
        <f t="shared" si="5"/>
        <v>Rodada 1Prezunic</v>
      </c>
    </row>
    <row r="14" spans="1:16" ht="25.05" customHeight="1" x14ac:dyDescent="0.3">
      <c r="A14" s="49" t="s">
        <v>107</v>
      </c>
      <c r="B14" s="53">
        <f>ROUND($B$9*$E$5,0)</f>
        <v>482</v>
      </c>
      <c r="C14" s="53">
        <f>ROUND($C$9*$E$5,0)</f>
        <v>723</v>
      </c>
      <c r="D14" s="53">
        <f>ROUND(D$9*$E5,0)</f>
        <v>84</v>
      </c>
      <c r="E14" s="53">
        <f>ROUND(E$9*$E5,0)</f>
        <v>603</v>
      </c>
      <c r="F14" s="49">
        <f t="shared" ref="F14" si="8">SUM(B14:E14)</f>
        <v>1892</v>
      </c>
      <c r="G14" s="283" t="str">
        <f t="shared" ref="G14" si="9">$A$9&amp;A14</f>
        <v>Rodada 1Giga</v>
      </c>
    </row>
    <row r="16" spans="1:16" x14ac:dyDescent="0.3">
      <c r="B16" s="53"/>
      <c r="C16" s="53"/>
      <c r="D16" s="53"/>
    </row>
    <row r="17" spans="2:4" x14ac:dyDescent="0.3">
      <c r="B17" s="53"/>
      <c r="C17" s="53"/>
      <c r="D17" s="53"/>
    </row>
    <row r="19" spans="2:4" x14ac:dyDescent="0.3">
      <c r="B19" s="53"/>
      <c r="C19" s="53"/>
      <c r="D19" s="53"/>
    </row>
    <row r="20" spans="2:4" x14ac:dyDescent="0.3">
      <c r="B20" s="53"/>
      <c r="C20" s="53"/>
      <c r="D20" s="53"/>
    </row>
    <row r="21" spans="2:4" x14ac:dyDescent="0.3">
      <c r="B21" s="53"/>
      <c r="C21" s="53"/>
      <c r="D21" s="53"/>
    </row>
    <row r="22" spans="2:4" x14ac:dyDescent="0.3">
      <c r="B22" s="53"/>
      <c r="C22" s="53"/>
      <c r="D22" s="53"/>
    </row>
  </sheetData>
  <mergeCells count="1">
    <mergeCell ref="A7:F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A5C3-D66F-40C6-BDE7-D5D0D05F2A72}">
  <dimension ref="A1:P39"/>
  <sheetViews>
    <sheetView workbookViewId="0">
      <selection activeCell="C6" sqref="C6"/>
    </sheetView>
  </sheetViews>
  <sheetFormatPr defaultRowHeight="25.05" customHeight="1" x14ac:dyDescent="0.3"/>
  <cols>
    <col min="1" max="1" width="20.77734375" style="52" customWidth="1"/>
    <col min="2" max="2" width="24.21875" style="53" bestFit="1" customWidth="1"/>
    <col min="3" max="3" width="18" style="53" bestFit="1" customWidth="1"/>
    <col min="4" max="4" width="9.88671875" style="53" bestFit="1" customWidth="1"/>
    <col min="5" max="5" width="19.21875" style="53" bestFit="1" customWidth="1"/>
    <col min="6" max="6" width="6.77734375" style="52" bestFit="1" customWidth="1"/>
    <col min="7" max="7" width="30.44140625" style="52" customWidth="1"/>
    <col min="8" max="8" width="5.5546875" style="52" customWidth="1"/>
    <col min="9" max="9" width="5.44140625" style="52" customWidth="1"/>
    <col min="10" max="10" width="6.109375" style="52" customWidth="1"/>
    <col min="11" max="11" width="8.88671875" style="52" customWidth="1"/>
    <col min="12" max="12" width="8.21875" style="52" customWidth="1"/>
    <col min="13" max="13" width="23.44140625" style="52" customWidth="1"/>
    <col min="14" max="14" width="17.21875" style="52" customWidth="1"/>
    <col min="15" max="15" width="9.6640625" style="52" customWidth="1"/>
    <col min="16" max="16" width="12.109375" style="52" customWidth="1"/>
    <col min="17" max="16384" width="8.88671875" style="52"/>
  </cols>
  <sheetData>
    <row r="1" spans="1:16" ht="40.799999999999997" customHeight="1" x14ac:dyDescent="0.3">
      <c r="A1" s="49"/>
      <c r="B1" s="60" t="s">
        <v>14</v>
      </c>
      <c r="C1" s="60" t="s">
        <v>15</v>
      </c>
      <c r="D1" s="60" t="s">
        <v>61</v>
      </c>
      <c r="E1" s="51" t="s">
        <v>65</v>
      </c>
      <c r="G1" s="53" t="s">
        <v>18</v>
      </c>
      <c r="H1" s="53" t="s">
        <v>19</v>
      </c>
      <c r="I1" s="53" t="s">
        <v>61</v>
      </c>
      <c r="J1" s="53" t="s">
        <v>20</v>
      </c>
      <c r="M1" s="52" t="s">
        <v>14</v>
      </c>
      <c r="N1" s="52" t="s">
        <v>15</v>
      </c>
      <c r="O1" s="52" t="s">
        <v>16</v>
      </c>
      <c r="P1" s="52" t="s">
        <v>17</v>
      </c>
    </row>
    <row r="2" spans="1:16" ht="25.05" customHeight="1" x14ac:dyDescent="0.3">
      <c r="A2" s="52" t="s">
        <v>1</v>
      </c>
      <c r="B2" s="67">
        <f>Bretas!K11</f>
        <v>899.91641051007537</v>
      </c>
      <c r="C2" s="55">
        <f>Bretas!K10</f>
        <v>0.37452229299363055</v>
      </c>
      <c r="D2" s="55">
        <f>Bretas!J5</f>
        <v>0.8</v>
      </c>
      <c r="E2" s="127">
        <f>ROUND(J2/$J$6,3)</f>
        <v>0.313</v>
      </c>
      <c r="G2" s="53">
        <f>IFERROR(_xlfn.XLOOKUP(B2,M:M,P:P),IF(B2&gt;$M$4,2,3))</f>
        <v>3</v>
      </c>
      <c r="H2" s="53">
        <f>IFERROR(_xlfn.XLOOKUP(C2,N:N,P:P),IF(C2&gt;$N$4,2,3))</f>
        <v>3</v>
      </c>
      <c r="I2" s="53">
        <f>IFERROR(_xlfn.XLOOKUP(D2,O:O,P:P),IF(D2&gt;$O$4,2,3))</f>
        <v>4</v>
      </c>
      <c r="J2" s="53">
        <f>SUM(G2:I2)</f>
        <v>10</v>
      </c>
      <c r="L2" s="52" t="s">
        <v>47</v>
      </c>
      <c r="M2" s="57">
        <f>SMALL(B2:B5,1)</f>
        <v>855.72848579066999</v>
      </c>
      <c r="N2" s="58">
        <f>LARGE(C2:C5,1)</f>
        <v>0.58305732484076433</v>
      </c>
      <c r="O2" s="58">
        <f>LARGE(D2:D5,1)</f>
        <v>0.8</v>
      </c>
      <c r="P2" s="52">
        <v>4</v>
      </c>
    </row>
    <row r="3" spans="1:16" ht="25.05" customHeight="1" x14ac:dyDescent="0.3">
      <c r="A3" s="52" t="s">
        <v>0</v>
      </c>
      <c r="B3" s="67">
        <f>GBarbosa!K11</f>
        <v>985.6384187777503</v>
      </c>
      <c r="C3" s="55">
        <f>GBarbosa!K10</f>
        <v>0.34484076433121019</v>
      </c>
      <c r="D3" s="55">
        <f>GBarbosa!J5</f>
        <v>0.42</v>
      </c>
      <c r="E3" s="127">
        <f t="shared" ref="E3:E5" si="0">ROUND(J3/$J$6,3)</f>
        <v>0.219</v>
      </c>
      <c r="G3" s="53">
        <f>IFERROR(_xlfn.XLOOKUP(B3,M:M,P:P),IF(B3&gt;$M$4,2,3))</f>
        <v>1</v>
      </c>
      <c r="H3" s="53">
        <f>IFERROR(_xlfn.XLOOKUP(C3,N:N,P:P),IF(C3&gt;$N$4,2,3))</f>
        <v>3</v>
      </c>
      <c r="I3" s="53">
        <f>IFERROR(_xlfn.XLOOKUP(D3,O:O,P:P),IF(D3&gt;$O$4,2,3))</f>
        <v>3</v>
      </c>
      <c r="J3" s="53">
        <f t="shared" ref="J3:J5" si="1">SUM(G3:I3)</f>
        <v>7</v>
      </c>
      <c r="L3" s="52" t="s">
        <v>48</v>
      </c>
      <c r="M3" s="57">
        <f>LARGE(B2:B5,1)</f>
        <v>985.6384187777503</v>
      </c>
      <c r="N3" s="58">
        <f>SMALL(C2:C5,1)</f>
        <v>0.24968152866242038</v>
      </c>
      <c r="O3" s="58">
        <f>SMALL(D2:D5,1)</f>
        <v>0.2</v>
      </c>
      <c r="P3" s="52">
        <v>1</v>
      </c>
    </row>
    <row r="4" spans="1:16" ht="25.05" customHeight="1" x14ac:dyDescent="0.3">
      <c r="A4" s="52" t="s">
        <v>2</v>
      </c>
      <c r="B4" s="67">
        <f>Prezunic!K11</f>
        <v>855.72848579066999</v>
      </c>
      <c r="C4" s="55">
        <f>Prezunic!K10</f>
        <v>0.58305732484076433</v>
      </c>
      <c r="D4" s="55">
        <f>Prezunic!J5</f>
        <v>0.2</v>
      </c>
      <c r="E4" s="127">
        <f t="shared" si="0"/>
        <v>0.28100000000000003</v>
      </c>
      <c r="G4" s="53">
        <f>IFERROR(_xlfn.XLOOKUP(B4,M:M,P:P),IF(B4&gt;$M$4,2,3))</f>
        <v>4</v>
      </c>
      <c r="H4" s="53">
        <f>IFERROR(_xlfn.XLOOKUP(C4,N:N,P:P),IF(C4&gt;$N$4,2,3))</f>
        <v>4</v>
      </c>
      <c r="I4" s="53">
        <f>IFERROR(_xlfn.XLOOKUP(D4,O:O,P:P),IF(D4&gt;$O$4,2,3))</f>
        <v>1</v>
      </c>
      <c r="J4" s="53">
        <f t="shared" si="1"/>
        <v>9</v>
      </c>
      <c r="L4" s="52" t="s">
        <v>136</v>
      </c>
      <c r="M4" s="54">
        <f>AVERAGE(B2:B5)</f>
        <v>916.55150661296204</v>
      </c>
      <c r="N4" s="58">
        <f>AVERAGE(C2:C5)</f>
        <v>0.38802547770700635</v>
      </c>
      <c r="O4" s="58">
        <f>AVERAGE(D2:D5)</f>
        <v>0.43</v>
      </c>
      <c r="P4" s="54"/>
    </row>
    <row r="5" spans="1:16" ht="25.05" customHeight="1" x14ac:dyDescent="0.3">
      <c r="A5" s="52" t="s">
        <v>107</v>
      </c>
      <c r="B5" s="54">
        <f>Giga!K11</f>
        <v>924.92271137335263</v>
      </c>
      <c r="C5" s="55">
        <f>Giga!J10</f>
        <v>0.24968152866242038</v>
      </c>
      <c r="D5" s="55">
        <f>Giga!J5</f>
        <v>0.3</v>
      </c>
      <c r="E5" s="127">
        <f t="shared" si="0"/>
        <v>0.188</v>
      </c>
      <c r="G5" s="53">
        <f>IFERROR(_xlfn.XLOOKUP(B5,M:M,P:P),IF(B5&gt;$M$4,2,3))</f>
        <v>2</v>
      </c>
      <c r="H5" s="53">
        <f>IFERROR(_xlfn.XLOOKUP(C5,N:N,P:P),IF(C5&gt;$N$4,2,3))</f>
        <v>1</v>
      </c>
      <c r="I5" s="53">
        <f>IFERROR(_xlfn.XLOOKUP(D5,O:O,P:P),IF(D5&gt;$O$4,2,3))</f>
        <v>3</v>
      </c>
      <c r="J5" s="53">
        <f t="shared" si="1"/>
        <v>6</v>
      </c>
    </row>
    <row r="6" spans="1:16" ht="25.05" customHeight="1" thickBot="1" x14ac:dyDescent="0.35">
      <c r="B6" s="67"/>
      <c r="C6" s="55"/>
      <c r="D6" s="55"/>
      <c r="E6" s="56"/>
      <c r="G6" s="53"/>
      <c r="H6" s="53"/>
      <c r="I6" s="53"/>
      <c r="J6" s="53">
        <f>SUM(J2:J5)</f>
        <v>32</v>
      </c>
    </row>
    <row r="7" spans="1:16" ht="25.05" customHeight="1" x14ac:dyDescent="0.3">
      <c r="A7" s="231" t="s">
        <v>76</v>
      </c>
      <c r="B7" s="232"/>
      <c r="C7" s="232"/>
      <c r="D7" s="232"/>
      <c r="E7" s="232"/>
      <c r="F7" s="233"/>
    </row>
    <row r="8" spans="1:16" ht="25.05" customHeight="1" x14ac:dyDescent="0.3">
      <c r="A8" s="49" t="s">
        <v>21</v>
      </c>
      <c r="B8" s="60" t="s">
        <v>3</v>
      </c>
      <c r="C8" s="60" t="s">
        <v>4</v>
      </c>
      <c r="D8" s="60" t="s">
        <v>5</v>
      </c>
      <c r="E8" s="60" t="s">
        <v>6</v>
      </c>
      <c r="F8" s="60" t="s">
        <v>20</v>
      </c>
    </row>
    <row r="9" spans="1:16" ht="25.05" customHeight="1" x14ac:dyDescent="0.3">
      <c r="A9" s="52" t="s">
        <v>50</v>
      </c>
      <c r="B9" s="53">
        <f>'Dados de apoio'!H14</f>
        <v>800</v>
      </c>
      <c r="C9" s="53">
        <f>'Dados de apoio'!I14</f>
        <v>1200</v>
      </c>
      <c r="D9" s="53">
        <f>'Dados de apoio'!J14</f>
        <v>140</v>
      </c>
      <c r="E9" s="53">
        <f>'Dados de apoio'!K14</f>
        <v>1000</v>
      </c>
      <c r="F9" s="49">
        <f>SUM(B9:E9)</f>
        <v>3140</v>
      </c>
    </row>
    <row r="11" spans="1:16" ht="25.05" customHeight="1" x14ac:dyDescent="0.3">
      <c r="A11" s="52" t="s">
        <v>1</v>
      </c>
      <c r="B11" s="53">
        <f>ROUND(B$9*$E2,0)</f>
        <v>250</v>
      </c>
      <c r="C11" s="53">
        <f>ROUND(C$9*$E2,0)</f>
        <v>376</v>
      </c>
      <c r="D11" s="53">
        <f>ROUND(D$9*$E2,0)</f>
        <v>44</v>
      </c>
      <c r="E11" s="53">
        <f>ROUND(E$9*$E2,0)</f>
        <v>313</v>
      </c>
      <c r="F11" s="49">
        <f t="shared" ref="F11:F13" si="2">SUM(B11:E11)</f>
        <v>983</v>
      </c>
      <c r="G11" s="52" t="str">
        <f>$A$9&amp;A11</f>
        <v>Rodada 2Bretas</v>
      </c>
    </row>
    <row r="12" spans="1:16" ht="25.05" customHeight="1" x14ac:dyDescent="0.3">
      <c r="A12" s="52" t="s">
        <v>0</v>
      </c>
      <c r="B12" s="53">
        <f>ROUND($B$9*E3,0)</f>
        <v>175</v>
      </c>
      <c r="C12" s="53">
        <f>ROUND(C$9*$E3,0)</f>
        <v>263</v>
      </c>
      <c r="D12" s="53">
        <f>ROUND(D$9*$E3,0)</f>
        <v>31</v>
      </c>
      <c r="E12" s="53">
        <f>ROUND(E$9*$E3,0)</f>
        <v>219</v>
      </c>
      <c r="F12" s="49">
        <f t="shared" si="2"/>
        <v>688</v>
      </c>
      <c r="G12" s="52" t="str">
        <f t="shared" ref="G12:G13" si="3">$A$9&amp;A12</f>
        <v>Rodada 2GBarbosa</v>
      </c>
    </row>
    <row r="13" spans="1:16" ht="25.05" customHeight="1" x14ac:dyDescent="0.3">
      <c r="A13" s="52" t="s">
        <v>2</v>
      </c>
      <c r="B13" s="53">
        <f t="shared" ref="B13" si="4">ROUND($B$9*E4,0)</f>
        <v>225</v>
      </c>
      <c r="C13" s="53">
        <f t="shared" ref="C13:E13" si="5">ROUND(C$9*$E4,0)</f>
        <v>337</v>
      </c>
      <c r="D13" s="53">
        <f t="shared" si="5"/>
        <v>39</v>
      </c>
      <c r="E13" s="53">
        <f t="shared" si="5"/>
        <v>281</v>
      </c>
      <c r="F13" s="49">
        <f t="shared" si="2"/>
        <v>882</v>
      </c>
      <c r="G13" s="52" t="str">
        <f t="shared" si="3"/>
        <v>Rodada 2Prezunic</v>
      </c>
    </row>
    <row r="14" spans="1:16" ht="25.05" customHeight="1" x14ac:dyDescent="0.3">
      <c r="A14" s="52" t="s">
        <v>107</v>
      </c>
      <c r="B14" s="53">
        <f>B9-SUM(B11:B13)</f>
        <v>150</v>
      </c>
      <c r="C14" s="53">
        <f>C9-SUM(C11:C13)</f>
        <v>224</v>
      </c>
      <c r="D14" s="53">
        <f>D9-SUM(D11:D13)</f>
        <v>26</v>
      </c>
      <c r="E14" s="53">
        <f>E9-SUM(E11:E13)</f>
        <v>187</v>
      </c>
      <c r="F14" s="49">
        <f t="shared" ref="F14" si="6">SUM(B14:E14)</f>
        <v>587</v>
      </c>
      <c r="G14" s="52" t="str">
        <f t="shared" ref="G14" si="7">$A$9&amp;A14</f>
        <v>Rodada 2Giga</v>
      </c>
    </row>
    <row r="16" spans="1:16" ht="25.05" customHeight="1" x14ac:dyDescent="0.3">
      <c r="A16" s="49" t="s">
        <v>21</v>
      </c>
      <c r="B16" s="60" t="s">
        <v>3</v>
      </c>
      <c r="C16" s="60" t="s">
        <v>4</v>
      </c>
      <c r="D16" s="60" t="s">
        <v>5</v>
      </c>
      <c r="E16" s="60" t="s">
        <v>6</v>
      </c>
      <c r="F16" s="60" t="s">
        <v>20</v>
      </c>
    </row>
    <row r="17" spans="1:7" ht="25.05" customHeight="1" x14ac:dyDescent="0.3">
      <c r="A17" s="52" t="s">
        <v>37</v>
      </c>
      <c r="B17" s="96">
        <f>'Dados de apoio'!H19</f>
        <v>400</v>
      </c>
      <c r="C17" s="96">
        <f>'Dados de apoio'!I19</f>
        <v>600</v>
      </c>
      <c r="D17" s="96">
        <f>'Dados de apoio'!J19</f>
        <v>70</v>
      </c>
      <c r="E17" s="96">
        <f>'Dados de apoio'!K19</f>
        <v>500</v>
      </c>
      <c r="F17" s="49">
        <f>SUM(B17:E17)</f>
        <v>1570</v>
      </c>
    </row>
    <row r="19" spans="1:7" ht="25.05" customHeight="1" x14ac:dyDescent="0.3">
      <c r="A19" s="52" t="s">
        <v>1</v>
      </c>
      <c r="B19" s="61">
        <v>320</v>
      </c>
      <c r="C19" s="61"/>
      <c r="D19" s="61"/>
      <c r="E19" s="61"/>
      <c r="F19" s="49">
        <f t="shared" ref="F19:F23" si="8">SUM(B19:E19)</f>
        <v>320</v>
      </c>
      <c r="G19" s="52" t="str">
        <f>$A$17&amp;A19</f>
        <v>Venda AtacadoBretas</v>
      </c>
    </row>
    <row r="20" spans="1:7" ht="25.05" customHeight="1" x14ac:dyDescent="0.3">
      <c r="A20" s="52" t="s">
        <v>0</v>
      </c>
      <c r="B20" s="61"/>
      <c r="C20" s="61">
        <v>400</v>
      </c>
      <c r="D20" s="61"/>
      <c r="E20" s="61">
        <v>500</v>
      </c>
      <c r="F20" s="49">
        <f t="shared" si="8"/>
        <v>900</v>
      </c>
      <c r="G20" s="52" t="str">
        <f>$A$17&amp;A20</f>
        <v>Venda AtacadoGBarbosa</v>
      </c>
    </row>
    <row r="21" spans="1:7" ht="25.05" customHeight="1" x14ac:dyDescent="0.3">
      <c r="A21" s="52" t="s">
        <v>2</v>
      </c>
      <c r="B21" s="61"/>
      <c r="C21" s="61"/>
      <c r="D21" s="61"/>
      <c r="E21" s="61"/>
      <c r="F21" s="49">
        <f t="shared" si="8"/>
        <v>0</v>
      </c>
      <c r="G21" s="52" t="str">
        <f>$A$17&amp;A21</f>
        <v>Venda AtacadoPrezunic</v>
      </c>
    </row>
    <row r="22" spans="1:7" ht="25.05" customHeight="1" x14ac:dyDescent="0.3">
      <c r="A22" s="52" t="s">
        <v>107</v>
      </c>
      <c r="B22" s="61">
        <v>400</v>
      </c>
      <c r="C22" s="61">
        <v>200</v>
      </c>
      <c r="D22" s="61">
        <v>70</v>
      </c>
      <c r="E22" s="61"/>
      <c r="F22" s="49">
        <f t="shared" ref="F22" si="9">SUM(B22:E22)</f>
        <v>670</v>
      </c>
      <c r="G22" s="52" t="str">
        <f t="shared" ref="G22" si="10">$A$17&amp;A22</f>
        <v>Venda AtacadoGiga</v>
      </c>
    </row>
    <row r="23" spans="1:7" ht="25.05" customHeight="1" x14ac:dyDescent="0.3">
      <c r="A23" s="49" t="s">
        <v>23</v>
      </c>
      <c r="B23" s="97">
        <f>SUM(B19:B21)</f>
        <v>320</v>
      </c>
      <c r="C23" s="97">
        <f>SUM(C19:C22)</f>
        <v>600</v>
      </c>
      <c r="D23" s="97">
        <f t="shared" ref="D23:E23" si="11">SUM(D19:D21)</f>
        <v>0</v>
      </c>
      <c r="E23" s="97">
        <f t="shared" si="11"/>
        <v>500</v>
      </c>
      <c r="F23" s="49">
        <f t="shared" si="8"/>
        <v>1420</v>
      </c>
    </row>
    <row r="25" spans="1:7" ht="25.05" customHeight="1" x14ac:dyDescent="0.3">
      <c r="A25" s="49" t="s">
        <v>21</v>
      </c>
      <c r="B25" s="60" t="s">
        <v>3</v>
      </c>
      <c r="C25" s="60" t="s">
        <v>4</v>
      </c>
      <c r="D25" s="60" t="s">
        <v>5</v>
      </c>
      <c r="E25" s="60" t="s">
        <v>6</v>
      </c>
      <c r="F25" s="60" t="s">
        <v>20</v>
      </c>
    </row>
    <row r="26" spans="1:7" ht="25.05" customHeight="1" x14ac:dyDescent="0.3">
      <c r="A26" s="52" t="s">
        <v>175</v>
      </c>
      <c r="F26" s="49"/>
    </row>
    <row r="27" spans="1:7" ht="25.05" customHeight="1" x14ac:dyDescent="0.3">
      <c r="A27" s="52" t="s">
        <v>1</v>
      </c>
      <c r="B27" s="230">
        <v>10</v>
      </c>
      <c r="C27" s="230">
        <v>10</v>
      </c>
      <c r="D27" s="230">
        <v>10</v>
      </c>
      <c r="E27" s="230">
        <v>10</v>
      </c>
      <c r="G27" s="52" t="str">
        <f>$A$26&amp;A27</f>
        <v>Preço AtacadoBretas</v>
      </c>
    </row>
    <row r="28" spans="1:7" ht="25.05" customHeight="1" x14ac:dyDescent="0.3">
      <c r="A28" s="52" t="s">
        <v>0</v>
      </c>
      <c r="B28" s="230">
        <f>B27*2</f>
        <v>20</v>
      </c>
      <c r="C28" s="230">
        <f t="shared" ref="C28:C30" si="12">C27*2</f>
        <v>20</v>
      </c>
      <c r="D28" s="230">
        <f t="shared" ref="D28:D30" si="13">D27*2</f>
        <v>20</v>
      </c>
      <c r="E28" s="230">
        <f t="shared" ref="E28:E30" si="14">E27*2</f>
        <v>20</v>
      </c>
      <c r="G28" s="52" t="str">
        <f>$A$26&amp;A28</f>
        <v>Preço AtacadoGBarbosa</v>
      </c>
    </row>
    <row r="29" spans="1:7" ht="25.05" customHeight="1" x14ac:dyDescent="0.3">
      <c r="A29" s="52" t="s">
        <v>2</v>
      </c>
      <c r="B29" s="230">
        <f t="shared" ref="B29:B30" si="15">B28*2</f>
        <v>40</v>
      </c>
      <c r="C29" s="230">
        <f t="shared" si="12"/>
        <v>40</v>
      </c>
      <c r="D29" s="230">
        <f t="shared" si="13"/>
        <v>40</v>
      </c>
      <c r="E29" s="230">
        <f t="shared" si="14"/>
        <v>40</v>
      </c>
      <c r="G29" s="52" t="str">
        <f>$A$26&amp;A29</f>
        <v>Preço AtacadoPrezunic</v>
      </c>
    </row>
    <row r="30" spans="1:7" ht="25.05" customHeight="1" x14ac:dyDescent="0.3">
      <c r="A30" s="52" t="s">
        <v>107</v>
      </c>
      <c r="B30" s="230">
        <f t="shared" si="15"/>
        <v>80</v>
      </c>
      <c r="C30" s="230">
        <f t="shared" si="12"/>
        <v>80</v>
      </c>
      <c r="D30" s="230">
        <f t="shared" si="13"/>
        <v>80</v>
      </c>
      <c r="E30" s="230">
        <f t="shared" si="14"/>
        <v>80</v>
      </c>
      <c r="G30" s="52" t="str">
        <f>$A$26&amp;A30</f>
        <v>Preço AtacadoGiga</v>
      </c>
    </row>
    <row r="31" spans="1:7" ht="25.05" customHeight="1" thickBot="1" x14ac:dyDescent="0.35">
      <c r="B31" s="52"/>
      <c r="C31" s="52"/>
      <c r="D31" s="52"/>
      <c r="E31" s="52"/>
    </row>
    <row r="32" spans="1:7" ht="25.05" customHeight="1" x14ac:dyDescent="0.3">
      <c r="A32" s="231" t="s">
        <v>77</v>
      </c>
      <c r="B32" s="232"/>
      <c r="C32" s="232"/>
      <c r="D32" s="232"/>
      <c r="E32" s="232"/>
      <c r="F32" s="233"/>
    </row>
    <row r="33" spans="1:7" ht="25.05" customHeight="1" x14ac:dyDescent="0.3">
      <c r="A33" s="49" t="s">
        <v>21</v>
      </c>
      <c r="B33" s="60" t="s">
        <v>3</v>
      </c>
      <c r="C33" s="60" t="s">
        <v>4</v>
      </c>
      <c r="D33" s="60" t="s">
        <v>5</v>
      </c>
      <c r="E33" s="60" t="s">
        <v>6</v>
      </c>
      <c r="F33" s="60" t="s">
        <v>20</v>
      </c>
    </row>
    <row r="34" spans="1:7" ht="25.05" customHeight="1" x14ac:dyDescent="0.3">
      <c r="A34" s="52" t="s">
        <v>51</v>
      </c>
      <c r="B34" s="53">
        <f>'Dados de apoio'!H15</f>
        <v>1200</v>
      </c>
      <c r="C34" s="53">
        <f>'Dados de apoio'!I15</f>
        <v>1800</v>
      </c>
      <c r="D34" s="53">
        <f>'Dados de apoio'!J15</f>
        <v>210</v>
      </c>
      <c r="E34" s="53">
        <f>'Dados de apoio'!K15</f>
        <v>1500</v>
      </c>
      <c r="F34" s="49">
        <f>SUM(B34:E34)</f>
        <v>4710</v>
      </c>
    </row>
    <row r="36" spans="1:7" ht="25.05" customHeight="1" x14ac:dyDescent="0.3">
      <c r="A36" s="52" t="s">
        <v>1</v>
      </c>
      <c r="B36" s="53">
        <f t="shared" ref="B36:E38" si="16">ROUND(B$34*$E2,0)</f>
        <v>376</v>
      </c>
      <c r="C36" s="53">
        <f t="shared" si="16"/>
        <v>563</v>
      </c>
      <c r="D36" s="53">
        <f t="shared" si="16"/>
        <v>66</v>
      </c>
      <c r="E36" s="53">
        <f t="shared" si="16"/>
        <v>470</v>
      </c>
      <c r="F36" s="49">
        <f t="shared" ref="F36:F38" si="17">SUM(B36:E36)</f>
        <v>1475</v>
      </c>
      <c r="G36" s="52" t="str">
        <f>$A$34&amp;A36</f>
        <v>Rodada 3Bretas</v>
      </c>
    </row>
    <row r="37" spans="1:7" ht="25.05" customHeight="1" x14ac:dyDescent="0.3">
      <c r="A37" s="52" t="s">
        <v>0</v>
      </c>
      <c r="B37" s="53">
        <f t="shared" si="16"/>
        <v>263</v>
      </c>
      <c r="C37" s="53">
        <f t="shared" si="16"/>
        <v>394</v>
      </c>
      <c r="D37" s="53">
        <f t="shared" si="16"/>
        <v>46</v>
      </c>
      <c r="E37" s="53">
        <f t="shared" si="16"/>
        <v>329</v>
      </c>
      <c r="F37" s="49">
        <f t="shared" si="17"/>
        <v>1032</v>
      </c>
      <c r="G37" s="52" t="str">
        <f>$A$34&amp;A37</f>
        <v>Rodada 3GBarbosa</v>
      </c>
    </row>
    <row r="38" spans="1:7" ht="25.05" customHeight="1" x14ac:dyDescent="0.3">
      <c r="A38" s="52" t="s">
        <v>2</v>
      </c>
      <c r="B38" s="53">
        <f t="shared" si="16"/>
        <v>337</v>
      </c>
      <c r="C38" s="53">
        <f t="shared" si="16"/>
        <v>506</v>
      </c>
      <c r="D38" s="53">
        <f t="shared" si="16"/>
        <v>59</v>
      </c>
      <c r="E38" s="53">
        <f t="shared" si="16"/>
        <v>422</v>
      </c>
      <c r="F38" s="49">
        <f t="shared" si="17"/>
        <v>1324</v>
      </c>
      <c r="G38" s="52" t="str">
        <f>$A$34&amp;A38</f>
        <v>Rodada 3Prezunic</v>
      </c>
    </row>
    <row r="39" spans="1:7" ht="25.05" customHeight="1" x14ac:dyDescent="0.3">
      <c r="A39" s="52" t="s">
        <v>107</v>
      </c>
      <c r="B39" s="53">
        <f>B34-SUM(B36:B38)</f>
        <v>224</v>
      </c>
      <c r="C39" s="53">
        <f>C34-SUM(C36:C38)</f>
        <v>337</v>
      </c>
      <c r="D39" s="53">
        <f>D34-SUM(D36:D38)</f>
        <v>39</v>
      </c>
      <c r="E39" s="53">
        <f>E34-SUM(E36:E38)</f>
        <v>279</v>
      </c>
      <c r="F39" s="49">
        <f t="shared" ref="F39" si="18">SUM(B39:E39)</f>
        <v>879</v>
      </c>
      <c r="G39" s="52" t="str">
        <f>$A$34&amp;A39</f>
        <v>Rodada 3Giga</v>
      </c>
    </row>
  </sheetData>
  <mergeCells count="2">
    <mergeCell ref="A7:F7"/>
    <mergeCell ref="A32:F32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5716-E733-4DFF-8A90-27FA193F3C64}">
  <dimension ref="A1:N91"/>
  <sheetViews>
    <sheetView showGridLines="0" zoomScale="120" zoomScaleNormal="120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24.33203125" style="4" bestFit="1" customWidth="1"/>
    <col min="2" max="2" width="11" style="5" bestFit="1" customWidth="1"/>
    <col min="3" max="5" width="11.88671875" style="5" bestFit="1" customWidth="1"/>
    <col min="6" max="6" width="11.88671875" style="4" bestFit="1" customWidth="1"/>
    <col min="7" max="7" width="4.6640625" style="4" customWidth="1"/>
    <col min="8" max="8" width="4.109375" style="4" customWidth="1"/>
    <col min="9" max="9" width="34.5546875" style="4" bestFit="1" customWidth="1"/>
    <col min="10" max="10" width="11.5546875" style="5" bestFit="1" customWidth="1"/>
    <col min="11" max="11" width="11.6640625" style="4" bestFit="1" customWidth="1"/>
    <col min="12" max="12" width="11.88671875" style="4" bestFit="1" customWidth="1"/>
    <col min="13" max="13" width="8" style="4" bestFit="1" customWidth="1"/>
    <col min="14" max="14" width="12.88671875" style="4" bestFit="1" customWidth="1"/>
    <col min="15" max="16384" width="8.88671875" style="4"/>
  </cols>
  <sheetData>
    <row r="1" spans="1:14" ht="19.8" customHeight="1" thickBot="1" x14ac:dyDescent="0.35">
      <c r="A1" s="14" t="s">
        <v>1</v>
      </c>
      <c r="B1" s="15" t="s">
        <v>3</v>
      </c>
      <c r="C1" s="16" t="s">
        <v>4</v>
      </c>
      <c r="D1" s="16" t="s">
        <v>5</v>
      </c>
      <c r="E1" s="16" t="s">
        <v>6</v>
      </c>
      <c r="F1" s="16" t="s">
        <v>20</v>
      </c>
      <c r="I1" s="2" t="s">
        <v>85</v>
      </c>
      <c r="J1" s="48">
        <v>10</v>
      </c>
      <c r="M1" s="85" t="s">
        <v>94</v>
      </c>
      <c r="N1" s="84">
        <f>'Dados de apoio'!B21</f>
        <v>700000</v>
      </c>
    </row>
    <row r="2" spans="1:14" x14ac:dyDescent="0.3">
      <c r="I2" s="2" t="s">
        <v>90</v>
      </c>
      <c r="J2" s="48">
        <v>5</v>
      </c>
      <c r="M2" s="13" t="s">
        <v>43</v>
      </c>
      <c r="N2" s="9">
        <f>-(F5+F23)</f>
        <v>-334120</v>
      </c>
    </row>
    <row r="3" spans="1:14" x14ac:dyDescent="0.3">
      <c r="A3" s="2" t="s">
        <v>7</v>
      </c>
      <c r="B3" s="1">
        <v>1000</v>
      </c>
      <c r="C3" s="1">
        <v>1500</v>
      </c>
      <c r="D3" s="1">
        <v>175</v>
      </c>
      <c r="E3" s="1">
        <v>1250</v>
      </c>
      <c r="F3" s="4">
        <f>SUM(B3:E3)</f>
        <v>3925</v>
      </c>
      <c r="I3" s="2" t="s">
        <v>92</v>
      </c>
      <c r="J3" s="82">
        <v>0.8</v>
      </c>
      <c r="M3" s="13" t="s">
        <v>96</v>
      </c>
      <c r="N3" s="9">
        <f>-L20</f>
        <v>-320000</v>
      </c>
    </row>
    <row r="4" spans="1:14" ht="15.6" x14ac:dyDescent="0.3">
      <c r="A4" s="2" t="s">
        <v>8</v>
      </c>
      <c r="B4" s="6">
        <f>'Dados de apoio'!H3</f>
        <v>20</v>
      </c>
      <c r="C4" s="6">
        <f>'Dados de apoio'!I3</f>
        <v>30</v>
      </c>
      <c r="D4" s="6">
        <f>'Dados de apoio'!J3</f>
        <v>500</v>
      </c>
      <c r="E4" s="6">
        <f>'Dados de apoio'!K3</f>
        <v>45</v>
      </c>
      <c r="I4" s="13" t="s">
        <v>24</v>
      </c>
      <c r="J4" s="3">
        <f>IF(J2="",6,IFERROR(_xlfn.XLOOKUP(J2,'Dados de apoio'!O:O,'Dados de apoio'!P:P),5))</f>
        <v>1</v>
      </c>
      <c r="M4" s="85" t="s">
        <v>97</v>
      </c>
      <c r="N4" s="84">
        <f>SUM(N1:N3)</f>
        <v>45880</v>
      </c>
    </row>
    <row r="5" spans="1:14" x14ac:dyDescent="0.3">
      <c r="A5" s="2" t="s">
        <v>9</v>
      </c>
      <c r="B5" s="17">
        <f>B3*B4</f>
        <v>20000</v>
      </c>
      <c r="C5" s="17">
        <f>C3*C4</f>
        <v>45000</v>
      </c>
      <c r="D5" s="17">
        <f>D3*D4</f>
        <v>87500</v>
      </c>
      <c r="E5" s="17">
        <f>E3*E4</f>
        <v>56250</v>
      </c>
      <c r="F5" s="7">
        <f>SUM(B5:E5)</f>
        <v>208750</v>
      </c>
      <c r="I5" s="13" t="s">
        <v>61</v>
      </c>
      <c r="J5" s="80">
        <f>J3*(J1/'Dados de apoio'!R4)</f>
        <v>0.8</v>
      </c>
      <c r="N5" s="3" t="str">
        <f>IF(N4&lt;0,"Revisar Caixa","Caixa OK")</f>
        <v>Caixa OK</v>
      </c>
    </row>
    <row r="6" spans="1:14" x14ac:dyDescent="0.3">
      <c r="A6" s="2"/>
      <c r="B6" s="17"/>
      <c r="C6" s="17"/>
      <c r="D6" s="17"/>
      <c r="E6" s="17"/>
      <c r="F6" s="7"/>
      <c r="J6" s="8"/>
    </row>
    <row r="7" spans="1:14" x14ac:dyDescent="0.3">
      <c r="A7" s="2" t="s">
        <v>64</v>
      </c>
      <c r="B7" s="5">
        <f>'Dados de apoio'!H4</f>
        <v>4000</v>
      </c>
      <c r="C7" s="5">
        <f>'Dados de apoio'!I4</f>
        <v>6000</v>
      </c>
      <c r="D7" s="5">
        <f>'Dados de apoio'!J4</f>
        <v>700</v>
      </c>
      <c r="E7" s="5">
        <f>'Dados de apoio'!K4</f>
        <v>5000</v>
      </c>
      <c r="F7" s="7">
        <f>SUM(B7:E7)</f>
        <v>15700</v>
      </c>
    </row>
    <row r="8" spans="1:14" x14ac:dyDescent="0.3">
      <c r="A8" s="2" t="s">
        <v>15</v>
      </c>
      <c r="B8" s="11">
        <f>B3/B7</f>
        <v>0.25</v>
      </c>
      <c r="C8" s="11">
        <f>C3/C7</f>
        <v>0.25</v>
      </c>
      <c r="D8" s="11">
        <f>D3/D7</f>
        <v>0.25</v>
      </c>
      <c r="E8" s="11">
        <f>E3/E7</f>
        <v>0.25</v>
      </c>
      <c r="F8" s="11">
        <f>F3/F7</f>
        <v>0.25</v>
      </c>
    </row>
    <row r="9" spans="1:14" x14ac:dyDescent="0.3">
      <c r="A9" s="18"/>
      <c r="B9" s="19"/>
      <c r="C9" s="19"/>
      <c r="D9" s="19"/>
      <c r="E9" s="19"/>
      <c r="F9" s="20"/>
      <c r="J9" s="3" t="s">
        <v>79</v>
      </c>
      <c r="K9" s="3" t="s">
        <v>80</v>
      </c>
    </row>
    <row r="10" spans="1:14" x14ac:dyDescent="0.3">
      <c r="A10" s="2"/>
      <c r="I10" s="13" t="s">
        <v>60</v>
      </c>
      <c r="J10" s="11">
        <f>F8</f>
        <v>0.25</v>
      </c>
      <c r="K10" s="80">
        <f>F26</f>
        <v>0.37452229299363055</v>
      </c>
    </row>
    <row r="11" spans="1:14" x14ac:dyDescent="0.3">
      <c r="A11" s="2" t="s">
        <v>12</v>
      </c>
      <c r="B11" s="12">
        <v>0.12</v>
      </c>
      <c r="C11" s="12">
        <v>0.12</v>
      </c>
      <c r="D11" s="12">
        <v>0.12</v>
      </c>
      <c r="E11" s="12">
        <v>0.12</v>
      </c>
      <c r="I11" s="13" t="s">
        <v>88</v>
      </c>
      <c r="J11" s="10">
        <f>SUM(B14:E14)</f>
        <v>868.9731359455418</v>
      </c>
      <c r="K11" s="10">
        <f>SUM(B31:E31)</f>
        <v>899.91641051007537</v>
      </c>
    </row>
    <row r="12" spans="1:14" x14ac:dyDescent="0.3">
      <c r="A12" s="2" t="s">
        <v>13</v>
      </c>
      <c r="B12" s="8">
        <f>'Dados de apoio'!H5</f>
        <v>0.12</v>
      </c>
      <c r="C12" s="8">
        <f>'Dados de apoio'!I5</f>
        <v>7.0000000000000007E-2</v>
      </c>
      <c r="D12" s="8">
        <f>'Dados de apoio'!J5</f>
        <v>0.25</v>
      </c>
      <c r="E12" s="8">
        <f>'Dados de apoio'!K5</f>
        <v>0.17</v>
      </c>
      <c r="G12" s="69"/>
    </row>
    <row r="13" spans="1:14" x14ac:dyDescent="0.3">
      <c r="A13" s="2"/>
      <c r="J13" s="3" t="s">
        <v>53</v>
      </c>
      <c r="K13" s="3" t="s">
        <v>53</v>
      </c>
      <c r="L13" s="3" t="s">
        <v>81</v>
      </c>
    </row>
    <row r="14" spans="1:14" x14ac:dyDescent="0.3">
      <c r="A14" s="2" t="s">
        <v>10</v>
      </c>
      <c r="B14" s="10">
        <f>(B4/(100%-B12))*(100%+B11)</f>
        <v>25.454545454545457</v>
      </c>
      <c r="C14" s="10">
        <f>(C4/(100%-C12))*(100%+C11)</f>
        <v>36.12903225806452</v>
      </c>
      <c r="D14" s="10">
        <f>(D4/(100%-D12))*(100%+D11)</f>
        <v>746.66666666666674</v>
      </c>
      <c r="E14" s="10">
        <f>(E4/(100%-E12))*(100%+E11)</f>
        <v>60.722891566265062</v>
      </c>
      <c r="G14" s="9"/>
      <c r="I14" s="2" t="s">
        <v>55</v>
      </c>
      <c r="J14" s="1" t="s">
        <v>172</v>
      </c>
      <c r="K14" s="3" t="str">
        <f>J14</f>
        <v>Sim</v>
      </c>
      <c r="L14" s="6">
        <f>IF(K14="Sim",_xlfn.XLOOKUP(I14,'Dados de apoio'!A:A,'Dados de apoio'!C:C),0)</f>
        <v>50000</v>
      </c>
    </row>
    <row r="15" spans="1:14" x14ac:dyDescent="0.3">
      <c r="A15" s="18"/>
      <c r="B15" s="21"/>
      <c r="C15" s="21"/>
      <c r="D15" s="21"/>
      <c r="E15" s="68"/>
      <c r="F15" s="20"/>
      <c r="G15" s="9"/>
      <c r="I15" s="2" t="s">
        <v>56</v>
      </c>
      <c r="J15" s="1" t="s">
        <v>173</v>
      </c>
      <c r="K15" s="3" t="str">
        <f>J15</f>
        <v>Não</v>
      </c>
      <c r="L15" s="6">
        <f>IF(K15="Sim",_xlfn.XLOOKUP(I15,'Dados de apoio'!A:A,'Dados de apoio'!C:C),0)</f>
        <v>0</v>
      </c>
    </row>
    <row r="16" spans="1:14" x14ac:dyDescent="0.3">
      <c r="B16" s="228"/>
      <c r="I16" s="2" t="s">
        <v>57</v>
      </c>
      <c r="J16" s="1" t="s">
        <v>172</v>
      </c>
      <c r="K16" s="1" t="str">
        <f>J16</f>
        <v>Sim</v>
      </c>
      <c r="L16" s="6">
        <f>IF(K16="Sim",_xlfn.XLOOKUP(I16,'Dados de apoio'!A:A,'Dados de apoio'!C:C),0)</f>
        <v>80000</v>
      </c>
    </row>
    <row r="17" spans="1:12" x14ac:dyDescent="0.3">
      <c r="B17" s="228"/>
      <c r="C17" s="228"/>
      <c r="I17" s="2" t="s">
        <v>58</v>
      </c>
      <c r="J17" s="1" t="s">
        <v>172</v>
      </c>
      <c r="K17" s="1" t="str">
        <f t="shared" ref="K17:K19" si="0">J17</f>
        <v>Sim</v>
      </c>
      <c r="L17" s="6">
        <f>IF(K17="Sim",_xlfn.XLOOKUP(I17,'Dados de apoio'!A:A,'Dados de apoio'!C:C),0)</f>
        <v>65000</v>
      </c>
    </row>
    <row r="18" spans="1:12" ht="15" thickBot="1" x14ac:dyDescent="0.35">
      <c r="A18" s="81" t="s">
        <v>82</v>
      </c>
      <c r="I18" s="2" t="s">
        <v>152</v>
      </c>
      <c r="J18" s="1" t="s">
        <v>172</v>
      </c>
      <c r="K18" s="1" t="str">
        <f t="shared" si="0"/>
        <v>Sim</v>
      </c>
      <c r="L18" s="6">
        <f>IF(K18="Sim",_xlfn.XLOOKUP(I18,'Dados de apoio'!A:A,'Dados de apoio'!C:C),0)</f>
        <v>80000</v>
      </c>
    </row>
    <row r="19" spans="1:12" ht="15.6" x14ac:dyDescent="0.3">
      <c r="A19" s="231" t="s">
        <v>66</v>
      </c>
      <c r="B19" s="232"/>
      <c r="C19" s="232"/>
      <c r="D19" s="232"/>
      <c r="E19" s="232"/>
      <c r="F19" s="233"/>
      <c r="G19" s="9"/>
      <c r="H19" s="70"/>
      <c r="I19" s="2" t="s">
        <v>59</v>
      </c>
      <c r="J19" s="1" t="s">
        <v>172</v>
      </c>
      <c r="K19" s="1" t="str">
        <f t="shared" si="0"/>
        <v>Sim</v>
      </c>
      <c r="L19" s="6">
        <f>IF(K19="Sim",_xlfn.XLOOKUP(I19,'Dados de apoio'!A:A,'Dados de apoio'!C:C),0)</f>
        <v>45000</v>
      </c>
    </row>
    <row r="20" spans="1:12" ht="15.6" x14ac:dyDescent="0.3">
      <c r="A20" s="4" t="s">
        <v>1</v>
      </c>
      <c r="B20" s="15" t="s">
        <v>3</v>
      </c>
      <c r="C20" s="16" t="s">
        <v>4</v>
      </c>
      <c r="D20" s="16" t="s">
        <v>5</v>
      </c>
      <c r="E20" s="16" t="s">
        <v>6</v>
      </c>
      <c r="F20" s="16" t="s">
        <v>20</v>
      </c>
      <c r="G20" s="9"/>
      <c r="H20" s="70"/>
      <c r="I20" s="2"/>
      <c r="J20" s="2" t="s">
        <v>54</v>
      </c>
      <c r="K20" s="2"/>
      <c r="L20" s="7">
        <f>SUM(L14:L19)</f>
        <v>320000</v>
      </c>
    </row>
    <row r="21" spans="1:12" x14ac:dyDescent="0.3">
      <c r="A21" s="2" t="s">
        <v>73</v>
      </c>
      <c r="B21" s="7">
        <f>B44</f>
        <v>227</v>
      </c>
      <c r="C21" s="7">
        <f t="shared" ref="C21:E21" si="1">C44</f>
        <v>258</v>
      </c>
      <c r="D21" s="7">
        <f t="shared" si="1"/>
        <v>30</v>
      </c>
      <c r="E21" s="7">
        <f t="shared" si="1"/>
        <v>215</v>
      </c>
      <c r="F21" s="7">
        <f t="shared" ref="F21:F22" si="2">SUM(B21:E21)</f>
        <v>730</v>
      </c>
      <c r="G21" s="9"/>
      <c r="H21" s="70"/>
      <c r="J21" s="13"/>
      <c r="K21" s="7"/>
    </row>
    <row r="22" spans="1:12" x14ac:dyDescent="0.3">
      <c r="A22" s="2" t="s">
        <v>74</v>
      </c>
      <c r="B22" s="1">
        <v>400</v>
      </c>
      <c r="C22" s="1">
        <v>942</v>
      </c>
      <c r="D22" s="1">
        <v>110</v>
      </c>
      <c r="E22" s="1">
        <v>758</v>
      </c>
      <c r="F22" s="7">
        <f t="shared" si="2"/>
        <v>2210</v>
      </c>
      <c r="G22" s="9"/>
      <c r="H22" s="70"/>
    </row>
    <row r="23" spans="1:12" x14ac:dyDescent="0.3">
      <c r="A23" s="2" t="s">
        <v>98</v>
      </c>
      <c r="B23" s="10">
        <f>B22*B4</f>
        <v>8000</v>
      </c>
      <c r="C23" s="10">
        <f>C22*C4</f>
        <v>28260</v>
      </c>
      <c r="D23" s="10">
        <f>D22*D4</f>
        <v>55000</v>
      </c>
      <c r="E23" s="10">
        <f>E22*E4</f>
        <v>34110</v>
      </c>
      <c r="F23" s="7">
        <f>SUM(B23:E23)</f>
        <v>125370</v>
      </c>
      <c r="G23" s="9"/>
      <c r="H23" s="70"/>
    </row>
    <row r="24" spans="1:12" x14ac:dyDescent="0.3">
      <c r="A24" s="2" t="s">
        <v>75</v>
      </c>
      <c r="B24" s="17">
        <f>B21+B22</f>
        <v>627</v>
      </c>
      <c r="C24" s="17">
        <f>C21+C22</f>
        <v>1200</v>
      </c>
      <c r="D24" s="17">
        <f>D21+D22</f>
        <v>140</v>
      </c>
      <c r="E24" s="17">
        <f>E21+E22</f>
        <v>973</v>
      </c>
      <c r="F24" s="7">
        <f>SUM(B24:E24)</f>
        <v>2940</v>
      </c>
      <c r="G24" s="9"/>
      <c r="H24" s="70"/>
      <c r="I24" s="2" t="s">
        <v>138</v>
      </c>
      <c r="J24" s="2" t="s">
        <v>143</v>
      </c>
      <c r="K24" s="2" t="s">
        <v>68</v>
      </c>
      <c r="L24" s="2" t="s">
        <v>68</v>
      </c>
    </row>
    <row r="25" spans="1:12" x14ac:dyDescent="0.3">
      <c r="B25" s="4"/>
      <c r="C25" s="4"/>
      <c r="D25" s="4"/>
      <c r="E25" s="4"/>
      <c r="G25" s="9"/>
      <c r="H25" s="70"/>
      <c r="I25" s="4" t="s">
        <v>139</v>
      </c>
      <c r="J25" s="5">
        <f>J2</f>
        <v>5</v>
      </c>
      <c r="K25" s="69">
        <f>'Dados de apoio'!B12</f>
        <v>120</v>
      </c>
      <c r="L25" s="69">
        <f>K25*J25</f>
        <v>600</v>
      </c>
    </row>
    <row r="26" spans="1:12" x14ac:dyDescent="0.3">
      <c r="A26" s="2" t="s">
        <v>15</v>
      </c>
      <c r="B26" s="11">
        <f>B24/(B7-'Dados de apoio'!H13)</f>
        <v>0.3135</v>
      </c>
      <c r="C26" s="11">
        <f>C24/(C7-'Dados de apoio'!I13)</f>
        <v>0.4</v>
      </c>
      <c r="D26" s="11">
        <f>D24/(D7-'Dados de apoio'!J13)</f>
        <v>0.4</v>
      </c>
      <c r="E26" s="11">
        <f>E24/(E7-'Dados de apoio'!K13)</f>
        <v>0.38919999999999999</v>
      </c>
      <c r="F26" s="11">
        <f>F24/(F7-'Dados de apoio'!L13)</f>
        <v>0.37452229299363055</v>
      </c>
      <c r="G26" s="9"/>
      <c r="H26" s="70"/>
      <c r="I26" s="4" t="s">
        <v>141</v>
      </c>
      <c r="J26" s="5">
        <f>J1+IF(J18="Sim",4,0)</f>
        <v>14</v>
      </c>
      <c r="K26" s="69">
        <f>'Dados de apoio'!B13</f>
        <v>80</v>
      </c>
      <c r="L26" s="69">
        <f t="shared" ref="L26:L28" si="3">K26*J26</f>
        <v>1120</v>
      </c>
    </row>
    <row r="27" spans="1:12" x14ac:dyDescent="0.3">
      <c r="B27" s="4"/>
      <c r="C27" s="4"/>
      <c r="D27" s="4"/>
      <c r="E27" s="4"/>
      <c r="G27" s="9"/>
      <c r="H27" s="70"/>
      <c r="I27" s="4" t="s">
        <v>140</v>
      </c>
      <c r="J27" s="5">
        <v>1</v>
      </c>
      <c r="K27" s="69">
        <f>'Dados de apoio'!B14*IF(K17="sim",1.3,1)</f>
        <v>650</v>
      </c>
      <c r="L27" s="69">
        <f t="shared" si="3"/>
        <v>650</v>
      </c>
    </row>
    <row r="28" spans="1:12" x14ac:dyDescent="0.3">
      <c r="A28" s="2" t="s">
        <v>12</v>
      </c>
      <c r="B28" s="12">
        <v>0.25</v>
      </c>
      <c r="C28" s="12">
        <v>0.25</v>
      </c>
      <c r="D28" s="12">
        <v>0.15</v>
      </c>
      <c r="E28" s="12">
        <v>0.19</v>
      </c>
      <c r="I28" s="4" t="s">
        <v>142</v>
      </c>
      <c r="J28" s="5">
        <v>1</v>
      </c>
      <c r="K28" s="69">
        <f>'Dados de apoio'!B15*IF(K14="sim",1.2,1)</f>
        <v>600</v>
      </c>
      <c r="L28" s="69">
        <f t="shared" si="3"/>
        <v>600</v>
      </c>
    </row>
    <row r="29" spans="1:12" x14ac:dyDescent="0.3">
      <c r="A29" s="2" t="s">
        <v>13</v>
      </c>
      <c r="B29" s="8">
        <f>'Dados de apoio'!H5</f>
        <v>0.12</v>
      </c>
      <c r="C29" s="8">
        <f>'Dados de apoio'!I5</f>
        <v>7.0000000000000007E-2</v>
      </c>
      <c r="D29" s="8">
        <f>'Dados de apoio'!J5</f>
        <v>0.25</v>
      </c>
      <c r="E29" s="8">
        <f>'Dados de apoio'!K5</f>
        <v>0.17</v>
      </c>
      <c r="J29" s="83"/>
      <c r="K29" s="2" t="s">
        <v>20</v>
      </c>
      <c r="L29" s="83">
        <f>SUM(L25:L28)</f>
        <v>2970</v>
      </c>
    </row>
    <row r="30" spans="1:12" x14ac:dyDescent="0.3">
      <c r="A30" s="2"/>
      <c r="J30" s="13"/>
      <c r="K30" s="7"/>
    </row>
    <row r="31" spans="1:12" x14ac:dyDescent="0.3">
      <c r="A31" s="2" t="s">
        <v>10</v>
      </c>
      <c r="B31" s="10">
        <f>(B4/(100%-B29))*(100%+B28)</f>
        <v>28.409090909090907</v>
      </c>
      <c r="C31" s="10">
        <f>(C4/(100%-C29))*(100%+C28)</f>
        <v>40.322580645161288</v>
      </c>
      <c r="D31" s="10">
        <f>(D4/(100%-D29))*(100%+D28)</f>
        <v>766.66666666666652</v>
      </c>
      <c r="E31" s="10">
        <f>(E4/(100%-E29))*(100%+E28)</f>
        <v>64.518072289156621</v>
      </c>
      <c r="J31" s="13"/>
      <c r="K31" s="7"/>
    </row>
    <row r="32" spans="1:12" x14ac:dyDescent="0.3">
      <c r="A32" s="18"/>
      <c r="B32" s="21"/>
      <c r="C32" s="21"/>
      <c r="D32" s="21"/>
      <c r="E32" s="21"/>
      <c r="F32" s="62"/>
      <c r="J32" s="13"/>
      <c r="K32" s="7"/>
    </row>
    <row r="33" spans="1:11" x14ac:dyDescent="0.3">
      <c r="A33" s="2"/>
      <c r="B33" s="10"/>
      <c r="C33" s="10"/>
      <c r="D33" s="10"/>
      <c r="E33" s="10"/>
      <c r="J33" s="13"/>
      <c r="K33" s="7"/>
    </row>
    <row r="34" spans="1:11" ht="15" thickBot="1" x14ac:dyDescent="0.35">
      <c r="A34" s="18"/>
      <c r="B34" s="21"/>
      <c r="C34" s="21"/>
      <c r="D34" s="21"/>
      <c r="E34" s="21"/>
      <c r="F34" s="20"/>
      <c r="J34" s="13"/>
      <c r="K34" s="7"/>
    </row>
    <row r="35" spans="1:11" ht="19.95" customHeight="1" x14ac:dyDescent="0.3">
      <c r="A35" s="231" t="s">
        <v>78</v>
      </c>
      <c r="B35" s="232"/>
      <c r="C35" s="232"/>
      <c r="D35" s="232"/>
      <c r="E35" s="232"/>
      <c r="F35" s="233"/>
    </row>
    <row r="36" spans="1:11" s="22" customFormat="1" ht="25.05" customHeight="1" x14ac:dyDescent="0.3">
      <c r="A36" s="38" t="s">
        <v>49</v>
      </c>
      <c r="B36" s="37">
        <f>_xlfn.XLOOKUP($A36&amp;$A$1,'Rodada 1 de Venda'!$G:$G,'Rodada 1 de Venda'!B:B)</f>
        <v>828</v>
      </c>
      <c r="C36" s="37">
        <f>_xlfn.XLOOKUP($A36&amp;$A1,'Rodada 1 de Venda'!$G:$G,'Rodada 1 de Venda'!C:C)</f>
        <v>1242</v>
      </c>
      <c r="D36" s="37">
        <f>_xlfn.XLOOKUP($A36&amp;$A1,'Rodada 1 de Venda'!$G:$G,'Rodada 1 de Venda'!D:D)</f>
        <v>145</v>
      </c>
      <c r="E36" s="37">
        <f>_xlfn.XLOOKUP($A36&amp;$A1,'Rodada 1 de Venda'!$G:$G,'Rodada 1 de Venda'!E:E)</f>
        <v>1035</v>
      </c>
      <c r="F36" s="37">
        <f>SUM(B36:E36)</f>
        <v>3250</v>
      </c>
      <c r="J36" s="23"/>
    </row>
    <row r="37" spans="1:11" s="29" customFormat="1" ht="25.05" customHeight="1" x14ac:dyDescent="0.3">
      <c r="A37" s="31" t="s">
        <v>30</v>
      </c>
      <c r="B37" s="32">
        <f>-ROUND(IF($J$14="Sim",0,B36/30*($J$4+_xlfn.XLOOKUP($I$14,'Dados de apoio'!$A:$A,'Dados de apoio'!$B:$B))),0)</f>
        <v>0</v>
      </c>
      <c r="C37" s="32">
        <f>-ROUND(IF($J$14="Sim",0,C36/30*($J$4+_xlfn.XLOOKUP($I$14,'Dados de apoio'!$A:$A,'Dados de apoio'!$B:$B))),0)</f>
        <v>0</v>
      </c>
      <c r="D37" s="32">
        <f>-ROUND(IF($J$14="Sim",0,D36/30*($J$4+_xlfn.XLOOKUP($I$14,'Dados de apoio'!$A:$A,'Dados de apoio'!$B:$B))),0)</f>
        <v>0</v>
      </c>
      <c r="E37" s="32">
        <f>-ROUND(IF($J$14="Sim",0,E36/30*($J$4+_xlfn.XLOOKUP($I$14,'Dados de apoio'!$A:$A,'Dados de apoio'!$B:$B))),0)</f>
        <v>0</v>
      </c>
      <c r="F37" s="33">
        <f>SUM(B37:E37)</f>
        <v>0</v>
      </c>
      <c r="G37" s="31"/>
      <c r="J37" s="30"/>
    </row>
    <row r="38" spans="1:11" s="29" customFormat="1" ht="25.05" customHeight="1" x14ac:dyDescent="0.3">
      <c r="A38" s="31" t="s">
        <v>31</v>
      </c>
      <c r="B38" s="32">
        <f>-ROUND(IF($J$15="Sim",0,B36/30*($J$4+_xlfn.XLOOKUP($I$15,'Dados de apoio'!$A:$A,'Dados de apoio'!$B:$B))),0)</f>
        <v>-55</v>
      </c>
      <c r="C38" s="32">
        <v>0</v>
      </c>
      <c r="D38" s="32">
        <v>0</v>
      </c>
      <c r="E38" s="32">
        <v>0</v>
      </c>
      <c r="F38" s="33">
        <f>SUM(B38:E38)</f>
        <v>-55</v>
      </c>
      <c r="G38" s="31"/>
      <c r="J38" s="30"/>
    </row>
    <row r="39" spans="1:11" s="29" customFormat="1" ht="25.05" customHeight="1" x14ac:dyDescent="0.3">
      <c r="A39" s="31" t="s">
        <v>45</v>
      </c>
      <c r="B39" s="32">
        <f>IF(SUM(B36:B38)&gt;B3,B3-SUM(B36:B38),0)</f>
        <v>0</v>
      </c>
      <c r="C39" s="32">
        <f>IF(SUM(C36:C38)&gt;C3,C3-SUM(C36:C38),0)</f>
        <v>0</v>
      </c>
      <c r="D39" s="32">
        <f>IF(SUM(D36:D38)&gt;D3,D3-SUM(D36:D38),0)</f>
        <v>0</v>
      </c>
      <c r="E39" s="32">
        <f>IF(SUM(E36:E38)&gt;E3,E3-SUM(E36:E38),0)</f>
        <v>0</v>
      </c>
      <c r="F39" s="33">
        <f>SUM(B39:E39)</f>
        <v>0</v>
      </c>
      <c r="G39" s="31"/>
      <c r="J39" s="30"/>
    </row>
    <row r="40" spans="1:11" s="29" customFormat="1" ht="25.05" customHeight="1" x14ac:dyDescent="0.3">
      <c r="A40" s="34" t="s">
        <v>23</v>
      </c>
      <c r="B40" s="33">
        <f>SUM(B36:B39)</f>
        <v>773</v>
      </c>
      <c r="C40" s="33">
        <f t="shared" ref="C40:E40" si="4">SUM(C36:C39)</f>
        <v>1242</v>
      </c>
      <c r="D40" s="33">
        <f t="shared" si="4"/>
        <v>145</v>
      </c>
      <c r="E40" s="33">
        <f t="shared" si="4"/>
        <v>1035</v>
      </c>
      <c r="F40" s="33">
        <f>SUM(F36:F39)</f>
        <v>3195</v>
      </c>
      <c r="G40" s="31"/>
      <c r="J40" s="30"/>
    </row>
    <row r="41" spans="1:11" s="22" customFormat="1" ht="25.05" customHeight="1" x14ac:dyDescent="0.3">
      <c r="A41" s="31"/>
      <c r="B41" s="32"/>
      <c r="C41" s="32"/>
      <c r="D41" s="32"/>
      <c r="E41" s="32"/>
      <c r="F41" s="31"/>
      <c r="G41" s="31"/>
      <c r="J41" s="23"/>
    </row>
    <row r="42" spans="1:11" s="22" customFormat="1" ht="25.05" customHeight="1" x14ac:dyDescent="0.3">
      <c r="A42" s="34" t="s">
        <v>22</v>
      </c>
      <c r="B42" s="35">
        <f>B40*B$14</f>
        <v>19676.36363636364</v>
      </c>
      <c r="C42" s="35">
        <f t="shared" ref="C42:E42" si="5">C40*C$14</f>
        <v>44872.258064516136</v>
      </c>
      <c r="D42" s="35">
        <f t="shared" si="5"/>
        <v>108266.66666666667</v>
      </c>
      <c r="E42" s="35">
        <f t="shared" si="5"/>
        <v>62848.192771084337</v>
      </c>
      <c r="F42" s="36">
        <f>SUM(B42:E42)</f>
        <v>235663.4811386308</v>
      </c>
      <c r="G42" s="31"/>
      <c r="J42" s="23"/>
    </row>
    <row r="43" spans="1:11" s="22" customFormat="1" ht="25.05" customHeight="1" x14ac:dyDescent="0.3">
      <c r="A43" s="25"/>
      <c r="B43" s="26"/>
      <c r="C43" s="26"/>
      <c r="D43" s="26"/>
      <c r="E43" s="26"/>
      <c r="F43" s="27"/>
      <c r="J43" s="23"/>
    </row>
    <row r="44" spans="1:11" s="22" customFormat="1" ht="25.05" customHeight="1" x14ac:dyDescent="0.3">
      <c r="A44" s="25" t="s">
        <v>43</v>
      </c>
      <c r="B44" s="26">
        <f>B3-B40</f>
        <v>227</v>
      </c>
      <c r="C44" s="26">
        <f>C3-C40</f>
        <v>258</v>
      </c>
      <c r="D44" s="26">
        <f>D3-D40</f>
        <v>30</v>
      </c>
      <c r="E44" s="26">
        <f>E3-E40</f>
        <v>215</v>
      </c>
      <c r="F44" s="26"/>
      <c r="J44" s="23"/>
    </row>
    <row r="45" spans="1:11" s="22" customFormat="1" ht="25.05" customHeight="1" thickBot="1" x14ac:dyDescent="0.35">
      <c r="A45" s="25"/>
      <c r="B45" s="26"/>
      <c r="C45" s="26"/>
      <c r="D45" s="26"/>
      <c r="E45" s="26"/>
      <c r="F45" s="26"/>
      <c r="J45" s="23"/>
    </row>
    <row r="46" spans="1:11" s="22" customFormat="1" ht="19.95" customHeight="1" x14ac:dyDescent="0.3">
      <c r="A46" s="231" t="s">
        <v>76</v>
      </c>
      <c r="B46" s="232"/>
      <c r="C46" s="232"/>
      <c r="D46" s="232"/>
      <c r="E46" s="232"/>
      <c r="F46" s="233"/>
      <c r="J46" s="23"/>
    </row>
    <row r="47" spans="1:11" s="25" customFormat="1" ht="25.05" customHeight="1" x14ac:dyDescent="0.3">
      <c r="A47" s="39" t="s">
        <v>50</v>
      </c>
      <c r="B47" s="37">
        <f>_xlfn.XLOOKUP($A47&amp;$A$1,'Demais Rodadas de Venda'!$G:$G,'Demais Rodadas de Venda'!B:B)</f>
        <v>250</v>
      </c>
      <c r="C47" s="37">
        <f>_xlfn.XLOOKUP($A47&amp;$A$1,'Demais Rodadas de Venda'!$G:$G,'Demais Rodadas de Venda'!C:C)</f>
        <v>376</v>
      </c>
      <c r="D47" s="37">
        <f>_xlfn.XLOOKUP($A47&amp;$A$1,'Demais Rodadas de Venda'!$G:$G,'Demais Rodadas de Venda'!D:D)</f>
        <v>44</v>
      </c>
      <c r="E47" s="37">
        <f>_xlfn.XLOOKUP($A47&amp;$A$1,'Demais Rodadas de Venda'!$G:$G,'Demais Rodadas de Venda'!E:E)</f>
        <v>313</v>
      </c>
      <c r="F47" s="37">
        <f>SUM(B47:E47)</f>
        <v>983</v>
      </c>
      <c r="J47" s="24"/>
    </row>
    <row r="48" spans="1:11" s="22" customFormat="1" ht="25.05" customHeight="1" x14ac:dyDescent="0.3">
      <c r="A48" s="22" t="s">
        <v>33</v>
      </c>
      <c r="B48" s="23">
        <f>-ROUND(IF($J$16="Sim",0,B47/30*($J$4+_xlfn.XLOOKUP($I$16,'Dados de apoio'!$A:$A,'Dados de apoio'!$B:$B))),0)</f>
        <v>0</v>
      </c>
      <c r="C48" s="23">
        <f>-ROUND(IF($J$16="Sim",0,C47/30*($J$4+_xlfn.XLOOKUP($I$16,'Dados de apoio'!$A:$A,'Dados de apoio'!$B:$B))),0)</f>
        <v>0</v>
      </c>
      <c r="D48" s="23">
        <f>-ROUND(IF($J$16="Sim",0,D47/30*($J$4+_xlfn.XLOOKUP($I$16,'Dados de apoio'!$A:$A,'Dados de apoio'!$B:$B))),0)</f>
        <v>0</v>
      </c>
      <c r="E48" s="23">
        <f>-ROUND(IF($J$16="Sim",0,E47/30*($J$4+_xlfn.XLOOKUP($I$16,'Dados de apoio'!$A:$A,'Dados de apoio'!$B:$B))),0)</f>
        <v>0</v>
      </c>
      <c r="F48" s="24">
        <f t="shared" ref="F48:F51" si="6">SUM(B48:E48)</f>
        <v>0</v>
      </c>
      <c r="J48" s="23"/>
    </row>
    <row r="49" spans="1:10" s="22" customFormat="1" ht="25.05" customHeight="1" x14ac:dyDescent="0.3">
      <c r="A49" s="22" t="s">
        <v>34</v>
      </c>
      <c r="B49" s="23">
        <f>-ROUND(IF($J$17="Sim",0,B47/30*($J$4+_xlfn.XLOOKUP($I$17,'Dados de apoio'!$A:$A,'Dados de apoio'!$B:$B))),0)</f>
        <v>0</v>
      </c>
      <c r="C49" s="23">
        <f>-ROUND(IF($J$17="Sim",0,C47/30*($J$4+_xlfn.XLOOKUP($I$17,'Dados de apoio'!$A:$A,'Dados de apoio'!$B:$B))),0)</f>
        <v>0</v>
      </c>
      <c r="D49" s="23">
        <f>-ROUND(IF($J$17="Sim",0,D47/30*($J$4+_xlfn.XLOOKUP($I$17,'Dados de apoio'!$A:$A,'Dados de apoio'!$B:$B))),0)</f>
        <v>0</v>
      </c>
      <c r="E49" s="23">
        <f>-ROUND(IF($J$17="Sim",0,E47/30*($J$4+_xlfn.XLOOKUP($I$17,'Dados de apoio'!$A:$A,'Dados de apoio'!$B:$B))),0)</f>
        <v>0</v>
      </c>
      <c r="F49" s="24">
        <f t="shared" si="6"/>
        <v>0</v>
      </c>
      <c r="J49" s="23"/>
    </row>
    <row r="50" spans="1:10" s="22" customFormat="1" ht="25.05" customHeight="1" x14ac:dyDescent="0.3">
      <c r="A50" s="22" t="s">
        <v>45</v>
      </c>
      <c r="B50" s="23">
        <f>IF(SUM(B47:B49)&gt;B24,B24-SUM(B47:B49),0)</f>
        <v>0</v>
      </c>
      <c r="C50" s="23">
        <f>IF(SUM(C47:C49)&gt;C24,C24-SUM(C47:C49),0)</f>
        <v>0</v>
      </c>
      <c r="D50" s="23">
        <f>IF(SUM(D47:D49)&gt;D24,D24-SUM(D47:D49),0)</f>
        <v>0</v>
      </c>
      <c r="E50" s="23">
        <f>IF(SUM(E47:E49)&gt;E24,E24-SUM(E47:E49),0)</f>
        <v>0</v>
      </c>
      <c r="F50" s="24">
        <f t="shared" si="6"/>
        <v>0</v>
      </c>
      <c r="J50" s="23"/>
    </row>
    <row r="51" spans="1:10" s="22" customFormat="1" ht="25.05" customHeight="1" x14ac:dyDescent="0.3">
      <c r="A51" s="25" t="s">
        <v>23</v>
      </c>
      <c r="B51" s="24">
        <f>SUM(B47:B50)</f>
        <v>250</v>
      </c>
      <c r="C51" s="24">
        <f t="shared" ref="C51:E51" si="7">SUM(C47:C50)</f>
        <v>376</v>
      </c>
      <c r="D51" s="24">
        <f t="shared" si="7"/>
        <v>44</v>
      </c>
      <c r="E51" s="24">
        <f t="shared" si="7"/>
        <v>313</v>
      </c>
      <c r="F51" s="24">
        <f t="shared" si="6"/>
        <v>983</v>
      </c>
      <c r="J51" s="23"/>
    </row>
    <row r="52" spans="1:10" s="22" customFormat="1" ht="25.05" customHeight="1" x14ac:dyDescent="0.3">
      <c r="B52" s="23"/>
      <c r="C52" s="23"/>
      <c r="D52" s="23"/>
      <c r="E52" s="23"/>
      <c r="J52" s="23"/>
    </row>
    <row r="53" spans="1:10" s="22" customFormat="1" ht="25.05" customHeight="1" x14ac:dyDescent="0.3">
      <c r="A53" s="25" t="s">
        <v>22</v>
      </c>
      <c r="B53" s="26">
        <f>B51*B$31</f>
        <v>7102.272727272727</v>
      </c>
      <c r="C53" s="26">
        <f>C51*C$31</f>
        <v>15161.290322580644</v>
      </c>
      <c r="D53" s="26">
        <f>D51*D$31</f>
        <v>33733.333333333328</v>
      </c>
      <c r="E53" s="26">
        <f>E51*E$31</f>
        <v>20194.156626506021</v>
      </c>
      <c r="F53" s="27">
        <f>SUM(B53:E53)</f>
        <v>76191.053009692725</v>
      </c>
      <c r="J53" s="23"/>
    </row>
    <row r="54" spans="1:10" s="22" customFormat="1" ht="24" customHeight="1" thickBot="1" x14ac:dyDescent="0.35">
      <c r="A54" s="25"/>
      <c r="B54" s="26"/>
      <c r="C54" s="26"/>
      <c r="D54" s="26"/>
      <c r="E54" s="26"/>
      <c r="F54" s="27"/>
      <c r="J54" s="23"/>
    </row>
    <row r="55" spans="1:10" s="22" customFormat="1" ht="25.05" customHeight="1" x14ac:dyDescent="0.3">
      <c r="A55" s="231" t="s">
        <v>36</v>
      </c>
      <c r="B55" s="232"/>
      <c r="C55" s="232"/>
      <c r="D55" s="232"/>
      <c r="E55" s="232"/>
      <c r="F55" s="233"/>
      <c r="J55" s="23"/>
    </row>
    <row r="56" spans="1:10" s="22" customFormat="1" ht="25.05" customHeight="1" x14ac:dyDescent="0.3">
      <c r="A56" s="39" t="s">
        <v>36</v>
      </c>
      <c r="B56" s="45">
        <f>_xlfn.XLOOKUP($A56&amp;$A$1,'Demais Rodadas de Venda'!$G:$G,'Demais Rodadas de Venda'!B:B)</f>
        <v>320</v>
      </c>
      <c r="C56" s="45">
        <f>_xlfn.XLOOKUP($A56&amp;$A$1,'Demais Rodadas de Venda'!$G:$G,'Demais Rodadas de Venda'!C:C)</f>
        <v>0</v>
      </c>
      <c r="D56" s="45">
        <f>_xlfn.XLOOKUP($A56&amp;$A$1,'Demais Rodadas de Venda'!$G:$G,'Demais Rodadas de Venda'!D:D)</f>
        <v>0</v>
      </c>
      <c r="E56" s="45">
        <f>_xlfn.XLOOKUP($A56&amp;$A$1,'Demais Rodadas de Venda'!$G:$G,'Demais Rodadas de Venda'!E:E)</f>
        <v>0</v>
      </c>
      <c r="F56" s="41">
        <f>SUM(B56:E56)</f>
        <v>320</v>
      </c>
      <c r="J56" s="23"/>
    </row>
    <row r="57" spans="1:10" s="22" customFormat="1" ht="25.05" customHeight="1" x14ac:dyDescent="0.3">
      <c r="A57" s="22" t="s">
        <v>45</v>
      </c>
      <c r="B57" s="23">
        <f>IF(B56&gt;0,IF(B56&gt;(B24-B51),(B24-B51)-B56,0),0)</f>
        <v>0</v>
      </c>
      <c r="C57" s="23">
        <f>IF(C56&gt;0,IF(C56&gt;(C24-C51),(C24-C51)-C56,0),0)</f>
        <v>0</v>
      </c>
      <c r="D57" s="23">
        <f>IF(D56&gt;0,IF(D56&gt;(D24-D51),(D24-D51)-D56,0),0)</f>
        <v>0</v>
      </c>
      <c r="E57" s="23">
        <f>IF(E56&gt;0,IF(E56&gt;(E24-E51),(E24-E51)-E56,0),0)</f>
        <v>0</v>
      </c>
      <c r="F57" s="27">
        <f>SUM(B57:E57)</f>
        <v>0</v>
      </c>
      <c r="J57" s="23"/>
    </row>
    <row r="58" spans="1:10" s="22" customFormat="1" ht="25.05" customHeight="1" x14ac:dyDescent="0.3">
      <c r="A58" s="25" t="s">
        <v>46</v>
      </c>
      <c r="B58" s="23">
        <f>SUM(B56:B57)</f>
        <v>320</v>
      </c>
      <c r="C58" s="23">
        <f t="shared" ref="C58:E58" si="8">SUM(C56:C57)</f>
        <v>0</v>
      </c>
      <c r="D58" s="23">
        <f t="shared" si="8"/>
        <v>0</v>
      </c>
      <c r="E58" s="23">
        <f t="shared" si="8"/>
        <v>0</v>
      </c>
      <c r="F58" s="27">
        <f>SUM(B58:E58)</f>
        <v>320</v>
      </c>
      <c r="J58" s="23"/>
    </row>
    <row r="59" spans="1:10" s="22" customFormat="1" ht="25.05" customHeight="1" x14ac:dyDescent="0.3">
      <c r="A59" s="25" t="s">
        <v>10</v>
      </c>
      <c r="B59" s="28">
        <f>_xlfn.XLOOKUP("Preço Atacado"&amp;$A$1,'Demais Rodadas de Venda'!$G:$G,'Demais Rodadas de Venda'!B:B)</f>
        <v>10</v>
      </c>
      <c r="C59" s="28">
        <f>_xlfn.XLOOKUP("Preço Atacado"&amp;$A$1,'Demais Rodadas de Venda'!$G:$G,'Demais Rodadas de Venda'!C:C)</f>
        <v>10</v>
      </c>
      <c r="D59" s="28">
        <f>_xlfn.XLOOKUP("Preço Atacado"&amp;$A$1,'Demais Rodadas de Venda'!$G:$G,'Demais Rodadas de Venda'!D:D)</f>
        <v>10</v>
      </c>
      <c r="E59" s="28">
        <f>_xlfn.XLOOKUP("Preço Atacado"&amp;$A$1,'Demais Rodadas de Venda'!$G:$G,'Demais Rodadas de Venda'!E:E)</f>
        <v>10</v>
      </c>
      <c r="F59" s="27">
        <f t="shared" ref="F59:F60" si="9">SUM(B59:E59)</f>
        <v>40</v>
      </c>
      <c r="J59" s="23"/>
    </row>
    <row r="60" spans="1:10" s="22" customFormat="1" ht="25.05" customHeight="1" x14ac:dyDescent="0.3">
      <c r="A60" s="25" t="s">
        <v>40</v>
      </c>
      <c r="B60" s="26">
        <f>B58*B59</f>
        <v>3200</v>
      </c>
      <c r="C60" s="26">
        <f t="shared" ref="C60:E60" si="10">C58*C59</f>
        <v>0</v>
      </c>
      <c r="D60" s="26">
        <f t="shared" si="10"/>
        <v>0</v>
      </c>
      <c r="E60" s="26">
        <f t="shared" si="10"/>
        <v>0</v>
      </c>
      <c r="F60" s="27">
        <f t="shared" si="9"/>
        <v>3200</v>
      </c>
      <c r="J60" s="23"/>
    </row>
    <row r="61" spans="1:10" s="22" customFormat="1" ht="25.05" customHeight="1" x14ac:dyDescent="0.3">
      <c r="A61" s="25"/>
      <c r="B61" s="28"/>
      <c r="C61" s="28"/>
      <c r="D61" s="28"/>
      <c r="E61" s="28"/>
      <c r="F61" s="27"/>
      <c r="J61" s="23"/>
    </row>
    <row r="62" spans="1:10" s="22" customFormat="1" ht="25.05" customHeight="1" x14ac:dyDescent="0.3">
      <c r="A62" s="25" t="s">
        <v>38</v>
      </c>
      <c r="B62" s="26">
        <f>B53+B60</f>
        <v>10302.272727272728</v>
      </c>
      <c r="C62" s="26">
        <f t="shared" ref="C62:E62" si="11">C53+C60</f>
        <v>15161.290322580644</v>
      </c>
      <c r="D62" s="26">
        <f t="shared" si="11"/>
        <v>33733.333333333328</v>
      </c>
      <c r="E62" s="26">
        <f t="shared" si="11"/>
        <v>20194.156626506021</v>
      </c>
      <c r="F62" s="26">
        <f>SUM(B62:E62)</f>
        <v>79391.053009692725</v>
      </c>
      <c r="J62" s="23"/>
    </row>
    <row r="63" spans="1:10" s="22" customFormat="1" ht="14.4" customHeight="1" x14ac:dyDescent="0.3">
      <c r="A63" s="25"/>
      <c r="B63" s="26"/>
      <c r="C63" s="26"/>
      <c r="D63" s="26"/>
      <c r="E63" s="26"/>
      <c r="F63" s="26"/>
      <c r="J63" s="23"/>
    </row>
    <row r="64" spans="1:10" s="22" customFormat="1" ht="25.05" customHeight="1" x14ac:dyDescent="0.3">
      <c r="A64" s="25" t="s">
        <v>43</v>
      </c>
      <c r="B64" s="26">
        <f>B24-B51-B58</f>
        <v>57</v>
      </c>
      <c r="C64" s="26">
        <f>C24-C51-C58</f>
        <v>824</v>
      </c>
      <c r="D64" s="26">
        <f>D24-D51-D58</f>
        <v>96</v>
      </c>
      <c r="E64" s="26">
        <f>E24-E51-E58</f>
        <v>660</v>
      </c>
      <c r="F64" s="26"/>
      <c r="J64" s="23"/>
    </row>
    <row r="65" spans="1:10" s="22" customFormat="1" ht="10.199999999999999" customHeight="1" thickBot="1" x14ac:dyDescent="0.35">
      <c r="B65" s="23"/>
      <c r="C65" s="23"/>
      <c r="D65" s="23"/>
      <c r="E65" s="23"/>
      <c r="J65" s="23"/>
    </row>
    <row r="66" spans="1:10" s="22" customFormat="1" ht="19.95" customHeight="1" x14ac:dyDescent="0.3">
      <c r="A66" s="231" t="s">
        <v>77</v>
      </c>
      <c r="B66" s="232"/>
      <c r="C66" s="232"/>
      <c r="D66" s="232"/>
      <c r="E66" s="232"/>
      <c r="F66" s="233"/>
      <c r="J66" s="23"/>
    </row>
    <row r="67" spans="1:10" s="25" customFormat="1" ht="25.05" customHeight="1" x14ac:dyDescent="0.3">
      <c r="A67" s="39" t="s">
        <v>51</v>
      </c>
      <c r="B67" s="37">
        <f>_xlfn.XLOOKUP($A67&amp;$A$1,'Demais Rodadas de Venda'!$G:$G,'Demais Rodadas de Venda'!B:B)</f>
        <v>376</v>
      </c>
      <c r="C67" s="37">
        <f>_xlfn.XLOOKUP($A67&amp;$A$1,'Demais Rodadas de Venda'!$G:$G,'Demais Rodadas de Venda'!C:C)</f>
        <v>563</v>
      </c>
      <c r="D67" s="37">
        <f>_xlfn.XLOOKUP($A67&amp;$A$1,'Demais Rodadas de Venda'!$G:$G,'Demais Rodadas de Venda'!D:D)</f>
        <v>66</v>
      </c>
      <c r="E67" s="37">
        <f>_xlfn.XLOOKUP($A67&amp;$A$1,'Demais Rodadas de Venda'!$G:$G,'Demais Rodadas de Venda'!E:E)</f>
        <v>470</v>
      </c>
      <c r="F67" s="37">
        <f>SUM(B67:E67)</f>
        <v>1475</v>
      </c>
      <c r="J67" s="24"/>
    </row>
    <row r="68" spans="1:10" s="22" customFormat="1" ht="25.05" customHeight="1" x14ac:dyDescent="0.3">
      <c r="A68" s="22" t="s">
        <v>35</v>
      </c>
      <c r="B68" s="23">
        <f>-ROUND(IF($J$18="Sim",0,B67/30*($J$4+_xlfn.XLOOKUP($I$18,'Dados de apoio'!$A:$A,'Dados de apoio'!$B:$B))),0)</f>
        <v>0</v>
      </c>
      <c r="C68" s="23">
        <f>-ROUND(IF($J$18="Sim",0,C67/30*($J$4+_xlfn.XLOOKUP($I$18,'Dados de apoio'!$A:$A,'Dados de apoio'!$B:$B))),0)</f>
        <v>0</v>
      </c>
      <c r="D68" s="23">
        <f>-ROUND(IF($J$18="Sim",0,D67/30*($J$4+_xlfn.XLOOKUP($I$18,'Dados de apoio'!$A:$A,'Dados de apoio'!$B:$B))),0)</f>
        <v>0</v>
      </c>
      <c r="E68" s="23">
        <f>-ROUND(IF($J$18="Sim",0,E67/30*($J$4+_xlfn.XLOOKUP($I$18,'Dados de apoio'!$A:$A,'Dados de apoio'!$B:$B))),0)</f>
        <v>0</v>
      </c>
      <c r="F68" s="24">
        <f>SUM(B68:E68)</f>
        <v>0</v>
      </c>
      <c r="J68" s="23"/>
    </row>
    <row r="69" spans="1:10" s="22" customFormat="1" ht="25.05" customHeight="1" x14ac:dyDescent="0.3">
      <c r="A69" s="22" t="s">
        <v>45</v>
      </c>
      <c r="B69" s="23">
        <f>IF(SUM(B67:B68)&gt;B64,B64-SUM(B67:B68),0)</f>
        <v>-319</v>
      </c>
      <c r="C69" s="23">
        <f t="shared" ref="C69:E69" si="12">IF(SUM(C67:C68)&gt;C64,C64-SUM(C67:C68),0)</f>
        <v>0</v>
      </c>
      <c r="D69" s="23">
        <f t="shared" si="12"/>
        <v>0</v>
      </c>
      <c r="E69" s="23">
        <f t="shared" si="12"/>
        <v>0</v>
      </c>
      <c r="F69" s="24">
        <f>SUM(B69:E69)</f>
        <v>-319</v>
      </c>
      <c r="J69" s="23"/>
    </row>
    <row r="70" spans="1:10" s="22" customFormat="1" ht="25.05" customHeight="1" x14ac:dyDescent="0.3">
      <c r="A70" s="25" t="s">
        <v>23</v>
      </c>
      <c r="B70" s="24">
        <f>SUM(B67:B69)</f>
        <v>57</v>
      </c>
      <c r="C70" s="24">
        <f t="shared" ref="C70:E70" si="13">SUM(C67:C69)</f>
        <v>563</v>
      </c>
      <c r="D70" s="24">
        <f t="shared" si="13"/>
        <v>66</v>
      </c>
      <c r="E70" s="24">
        <f t="shared" si="13"/>
        <v>470</v>
      </c>
      <c r="F70" s="24">
        <f>SUM(B70:E70)</f>
        <v>1156</v>
      </c>
      <c r="J70" s="23"/>
    </row>
    <row r="71" spans="1:10" s="22" customFormat="1" ht="25.05" customHeight="1" x14ac:dyDescent="0.3">
      <c r="B71" s="23"/>
      <c r="C71" s="23"/>
      <c r="D71" s="23"/>
      <c r="E71" s="23"/>
      <c r="J71" s="23"/>
    </row>
    <row r="72" spans="1:10" s="22" customFormat="1" ht="25.05" customHeight="1" x14ac:dyDescent="0.3">
      <c r="A72" s="25" t="s">
        <v>22</v>
      </c>
      <c r="B72" s="26">
        <f>B70*B$31</f>
        <v>1619.3181818181818</v>
      </c>
      <c r="C72" s="26">
        <f>C70*C$31</f>
        <v>22701.612903225807</v>
      </c>
      <c r="D72" s="26">
        <f>D70*D$31</f>
        <v>50599.999999999993</v>
      </c>
      <c r="E72" s="26">
        <f>E70*E$31</f>
        <v>30323.493975903613</v>
      </c>
      <c r="F72" s="27">
        <f>SUM(B72:E72)</f>
        <v>105244.4250609476</v>
      </c>
      <c r="J72" s="23"/>
    </row>
    <row r="73" spans="1:10" s="22" customFormat="1" ht="25.05" customHeight="1" x14ac:dyDescent="0.3">
      <c r="B73" s="23"/>
      <c r="C73" s="23"/>
      <c r="D73" s="23"/>
      <c r="E73" s="23"/>
      <c r="J73" s="23"/>
    </row>
    <row r="74" spans="1:10" s="22" customFormat="1" ht="25.05" customHeight="1" x14ac:dyDescent="0.3">
      <c r="A74" s="25" t="s">
        <v>44</v>
      </c>
      <c r="B74" s="26">
        <f>B64-B70</f>
        <v>0</v>
      </c>
      <c r="C74" s="26">
        <f t="shared" ref="C74:E74" si="14">C64-C70</f>
        <v>261</v>
      </c>
      <c r="D74" s="26">
        <f t="shared" si="14"/>
        <v>30</v>
      </c>
      <c r="E74" s="26">
        <f t="shared" si="14"/>
        <v>190</v>
      </c>
      <c r="F74" s="27">
        <f>SUM(B74:E74)</f>
        <v>481</v>
      </c>
      <c r="J74" s="23"/>
    </row>
    <row r="75" spans="1:10" s="22" customFormat="1" ht="25.05" customHeight="1" x14ac:dyDescent="0.3">
      <c r="A75" s="25" t="s">
        <v>134</v>
      </c>
      <c r="B75" s="26">
        <f>B74*B4</f>
        <v>0</v>
      </c>
      <c r="C75" s="26">
        <f t="shared" ref="C75:E75" si="15">C74*C4</f>
        <v>7830</v>
      </c>
      <c r="D75" s="26">
        <f t="shared" si="15"/>
        <v>15000</v>
      </c>
      <c r="E75" s="26">
        <f t="shared" si="15"/>
        <v>8550</v>
      </c>
      <c r="F75" s="27">
        <f>SUM(B75:E75)</f>
        <v>31380</v>
      </c>
      <c r="J75" s="23"/>
    </row>
    <row r="76" spans="1:10" s="22" customFormat="1" ht="25.05" customHeight="1" thickBot="1" x14ac:dyDescent="0.35">
      <c r="A76" s="25"/>
      <c r="B76" s="26"/>
      <c r="C76" s="26"/>
      <c r="D76" s="26"/>
      <c r="E76" s="26"/>
      <c r="J76" s="23"/>
    </row>
    <row r="77" spans="1:10" s="22" customFormat="1" ht="25.05" customHeight="1" x14ac:dyDescent="0.3">
      <c r="A77" s="231" t="s">
        <v>62</v>
      </c>
      <c r="B77" s="232"/>
      <c r="C77" s="232"/>
      <c r="D77" s="232"/>
      <c r="E77" s="232"/>
      <c r="F77" s="233"/>
      <c r="J77" s="23"/>
    </row>
    <row r="78" spans="1:10" s="22" customFormat="1" ht="9.6" customHeight="1" x14ac:dyDescent="0.3">
      <c r="B78" s="23"/>
      <c r="C78" s="23"/>
      <c r="D78" s="23"/>
      <c r="E78" s="23"/>
      <c r="J78" s="23"/>
    </row>
    <row r="79" spans="1:10" s="22" customFormat="1" ht="25.05" customHeight="1" x14ac:dyDescent="0.3">
      <c r="A79" s="25" t="s">
        <v>41</v>
      </c>
      <c r="B79" s="24">
        <f>B40+B51+B58+B70</f>
        <v>1400</v>
      </c>
      <c r="C79" s="24">
        <f>C40+C51+C58+C70</f>
        <v>2181</v>
      </c>
      <c r="D79" s="24">
        <f>D40+D51+D58+D70</f>
        <v>255</v>
      </c>
      <c r="E79" s="24">
        <f>E40+E51+E58+E70</f>
        <v>1818</v>
      </c>
      <c r="F79" s="27">
        <f>SUM(B79:E79)</f>
        <v>5654</v>
      </c>
      <c r="J79" s="23"/>
    </row>
    <row r="80" spans="1:10" s="22" customFormat="1" ht="31.8" customHeight="1" x14ac:dyDescent="0.3">
      <c r="A80" s="22" t="s">
        <v>106</v>
      </c>
      <c r="B80" s="23">
        <f>(B36-B40)+(B47-B51)+B57+(B67-B70)</f>
        <v>374</v>
      </c>
      <c r="C80" s="23">
        <f>(C36-C40)+(C47-C51)+C57+(C67-C70)</f>
        <v>0</v>
      </c>
      <c r="D80" s="23">
        <f>(D36-D40)+(D47-D51)+D57+(D67-D70)</f>
        <v>0</v>
      </c>
      <c r="E80" s="23">
        <f>(E36-E40)+(E47-E51)+E57+(E67-E70)</f>
        <v>0</v>
      </c>
      <c r="F80" s="98">
        <f>SUM(B80:E80)</f>
        <v>374</v>
      </c>
      <c r="J80" s="23"/>
    </row>
    <row r="81" spans="1:10" s="22" customFormat="1" ht="25.05" customHeight="1" x14ac:dyDescent="0.3">
      <c r="A81" s="39" t="s">
        <v>39</v>
      </c>
      <c r="B81" s="40">
        <f>B42+B62+B72</f>
        <v>31597.954545454548</v>
      </c>
      <c r="C81" s="40">
        <f>C42+C62+C72</f>
        <v>82735.161290322591</v>
      </c>
      <c r="D81" s="40">
        <f>D42+D62+D72</f>
        <v>192600</v>
      </c>
      <c r="E81" s="40">
        <f>E42+E62+E72</f>
        <v>113365.84337349396</v>
      </c>
      <c r="F81" s="41">
        <f>SUM(B81:E81)</f>
        <v>420298.95920927112</v>
      </c>
      <c r="J81" s="23"/>
    </row>
    <row r="82" spans="1:10" s="22" customFormat="1" ht="25.05" customHeight="1" x14ac:dyDescent="0.3">
      <c r="A82" s="25"/>
      <c r="B82" s="24"/>
      <c r="C82" s="24"/>
      <c r="D82" s="24"/>
      <c r="E82" s="24"/>
      <c r="F82" s="25"/>
      <c r="J82" s="23"/>
    </row>
    <row r="83" spans="1:10" s="22" customFormat="1" ht="25.05" customHeight="1" x14ac:dyDescent="0.3">
      <c r="A83" s="25" t="s">
        <v>42</v>
      </c>
      <c r="B83" s="26">
        <f>B79*B4</f>
        <v>28000</v>
      </c>
      <c r="C83" s="26">
        <f>C79*C4</f>
        <v>65430</v>
      </c>
      <c r="D83" s="26">
        <f>D79*D4</f>
        <v>127500</v>
      </c>
      <c r="E83" s="26">
        <f>E79*E4</f>
        <v>81810</v>
      </c>
      <c r="F83" s="27">
        <f>SUM(B83:E83)</f>
        <v>302740</v>
      </c>
      <c r="J83" s="23"/>
    </row>
    <row r="84" spans="1:10" s="22" customFormat="1" ht="25.05" customHeight="1" x14ac:dyDescent="0.3">
      <c r="A84" s="25"/>
      <c r="B84" s="24"/>
      <c r="C84" s="24"/>
      <c r="D84" s="24"/>
      <c r="E84" s="24"/>
      <c r="F84" s="25"/>
      <c r="J84" s="23"/>
    </row>
    <row r="85" spans="1:10" s="22" customFormat="1" ht="25.05" customHeight="1" x14ac:dyDescent="0.3">
      <c r="A85" s="25" t="s">
        <v>11</v>
      </c>
      <c r="B85" s="26">
        <f>B81*B12</f>
        <v>3791.7545454545457</v>
      </c>
      <c r="C85" s="26">
        <f>C81*C12</f>
        <v>5791.4612903225816</v>
      </c>
      <c r="D85" s="26">
        <f>D81*D12</f>
        <v>48150</v>
      </c>
      <c r="E85" s="26">
        <f>E81*E12</f>
        <v>19272.193373493974</v>
      </c>
      <c r="F85" s="27">
        <f>SUM(B85:E85)</f>
        <v>77005.409209271107</v>
      </c>
      <c r="I85" s="98"/>
      <c r="J85" s="23"/>
    </row>
    <row r="86" spans="1:10" s="22" customFormat="1" ht="13.8" customHeight="1" x14ac:dyDescent="0.3">
      <c r="A86" s="25"/>
      <c r="B86" s="134"/>
      <c r="C86" s="134"/>
      <c r="D86" s="134"/>
      <c r="E86" s="134"/>
      <c r="F86" s="134"/>
      <c r="J86" s="23"/>
    </row>
    <row r="87" spans="1:10" s="22" customFormat="1" ht="25.05" customHeight="1" x14ac:dyDescent="0.3">
      <c r="A87" s="25" t="s">
        <v>84</v>
      </c>
      <c r="B87" s="26">
        <f>B75*'Dados de apoio'!H6</f>
        <v>0</v>
      </c>
      <c r="C87" s="26">
        <f>C75*'Dados de apoio'!I6</f>
        <v>117.44999999999999</v>
      </c>
      <c r="D87" s="26">
        <f>D75*'Dados de apoio'!J6</f>
        <v>0</v>
      </c>
      <c r="E87" s="26">
        <f>E75*'Dados de apoio'!K6</f>
        <v>85.5</v>
      </c>
      <c r="F87" s="27">
        <f>SUM(B87:E87)</f>
        <v>202.95</v>
      </c>
      <c r="J87" s="23"/>
    </row>
    <row r="88" spans="1:10" s="22" customFormat="1" ht="13.8" customHeight="1" x14ac:dyDescent="0.3">
      <c r="A88" s="25"/>
      <c r="B88" s="26"/>
      <c r="C88" s="26"/>
      <c r="D88" s="26"/>
      <c r="E88" s="26"/>
      <c r="F88" s="27"/>
      <c r="J88" s="23"/>
    </row>
    <row r="89" spans="1:10" s="22" customFormat="1" ht="25.05" customHeight="1" x14ac:dyDescent="0.3">
      <c r="A89" s="25" t="s">
        <v>135</v>
      </c>
      <c r="B89" s="26">
        <f>B75*'Dados de apoio'!H7</f>
        <v>0</v>
      </c>
      <c r="C89" s="26">
        <f>C75*'Dados de apoio'!I7</f>
        <v>65.25</v>
      </c>
      <c r="D89" s="26">
        <f>D75*'Dados de apoio'!J7</f>
        <v>200</v>
      </c>
      <c r="E89" s="26">
        <f>E75*'Dados de apoio'!K7</f>
        <v>92.625</v>
      </c>
      <c r="F89" s="27">
        <f>SUM(B89:E89)</f>
        <v>357.875</v>
      </c>
      <c r="J89" s="23"/>
    </row>
    <row r="90" spans="1:10" s="22" customFormat="1" ht="12.6" customHeight="1" x14ac:dyDescent="0.3">
      <c r="B90" s="23"/>
      <c r="C90" s="23"/>
      <c r="D90" s="23"/>
      <c r="E90" s="23"/>
      <c r="J90" s="23"/>
    </row>
    <row r="91" spans="1:10" s="22" customFormat="1" ht="25.05" customHeight="1" x14ac:dyDescent="0.3">
      <c r="A91" s="42" t="s">
        <v>63</v>
      </c>
      <c r="B91" s="43">
        <f>IFERROR((B81-B83-B85)/(B81-B85),0)</f>
        <v>-6.9696686350525384E-3</v>
      </c>
      <c r="C91" s="43">
        <f>IFERROR((C81-C83-C85)/(C81-C85),0)</f>
        <v>0.14963798205701059</v>
      </c>
      <c r="D91" s="43">
        <f>IFERROR((D81-D83-D85)/(D81-D85),0)</f>
        <v>0.11734164070612668</v>
      </c>
      <c r="E91" s="43">
        <f>IFERROR((E81-E83-E85)/(E81-E85),0)</f>
        <v>0.13054706667240551</v>
      </c>
      <c r="F91" s="44">
        <f>IFERROR((F81-F83-F85)/(F81-F85),0)</f>
        <v>0.1181308241882203</v>
      </c>
      <c r="J91" s="23"/>
    </row>
  </sheetData>
  <protectedRanges>
    <protectedRange sqref="K16:K19 J14:J19" name="Intervalo6"/>
    <protectedRange sqref="B28:E28" name="Intervalo4"/>
    <protectedRange sqref="B11:E11" name="Intervalo2"/>
    <protectedRange sqref="B22:E22" name="Intervalo3"/>
    <protectedRange sqref="J1:J3" name="Intervalo5"/>
  </protectedRanges>
  <mergeCells count="6">
    <mergeCell ref="A19:F19"/>
    <mergeCell ref="A35:F35"/>
    <mergeCell ref="A66:F66"/>
    <mergeCell ref="A46:F46"/>
    <mergeCell ref="A77:F77"/>
    <mergeCell ref="A55:F55"/>
  </mergeCells>
  <dataValidations count="1">
    <dataValidation type="list" allowBlank="1" showInputMessage="1" showErrorMessage="1" sqref="K16:K19 J14:J19" xr:uid="{3F6E31F3-D1EA-4D1D-9D27-555C06DD00B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DACB-39A0-4D1E-98E9-56BEC3B680C1}">
  <dimension ref="A1:N91"/>
  <sheetViews>
    <sheetView showGridLines="0" zoomScale="120" zoomScaleNormal="120" workbookViewId="0">
      <pane ySplit="1" topLeftCell="A52" activePane="bottomLeft" state="frozen"/>
      <selection pane="bottomLeft" activeCell="B56" sqref="B56"/>
    </sheetView>
  </sheetViews>
  <sheetFormatPr defaultRowHeight="14.4" x14ac:dyDescent="0.3"/>
  <cols>
    <col min="1" max="1" width="24.33203125" style="4" bestFit="1" customWidth="1"/>
    <col min="2" max="2" width="11" style="5" bestFit="1" customWidth="1"/>
    <col min="3" max="5" width="11.88671875" style="5" bestFit="1" customWidth="1"/>
    <col min="6" max="6" width="11.88671875" style="4" bestFit="1" customWidth="1"/>
    <col min="7" max="7" width="4.6640625" style="4" customWidth="1"/>
    <col min="8" max="8" width="4.109375" style="4" customWidth="1"/>
    <col min="9" max="9" width="34.5546875" style="4" bestFit="1" customWidth="1"/>
    <col min="10" max="10" width="11.5546875" style="5" bestFit="1" customWidth="1"/>
    <col min="11" max="11" width="11.6640625" style="4" bestFit="1" customWidth="1"/>
    <col min="12" max="12" width="11.88671875" style="4" bestFit="1" customWidth="1"/>
    <col min="13" max="13" width="8" style="4" bestFit="1" customWidth="1"/>
    <col min="14" max="14" width="12.88671875" style="4" bestFit="1" customWidth="1"/>
    <col min="15" max="16384" width="8.88671875" style="4"/>
  </cols>
  <sheetData>
    <row r="1" spans="1:14" ht="19.8" customHeight="1" thickBot="1" x14ac:dyDescent="0.35">
      <c r="A1" s="14" t="s">
        <v>67</v>
      </c>
      <c r="B1" s="15" t="s">
        <v>3</v>
      </c>
      <c r="C1" s="16" t="s">
        <v>4</v>
      </c>
      <c r="D1" s="16" t="s">
        <v>5</v>
      </c>
      <c r="E1" s="16" t="s">
        <v>6</v>
      </c>
      <c r="F1" s="16" t="s">
        <v>20</v>
      </c>
      <c r="I1" s="2" t="s">
        <v>85</v>
      </c>
      <c r="J1" s="48">
        <v>6</v>
      </c>
      <c r="M1" s="85" t="s">
        <v>94</v>
      </c>
      <c r="N1" s="84">
        <f>'Dados de apoio'!B21</f>
        <v>700000</v>
      </c>
    </row>
    <row r="2" spans="1:14" x14ac:dyDescent="0.3">
      <c r="I2" s="2" t="s">
        <v>90</v>
      </c>
      <c r="J2" s="48">
        <v>3</v>
      </c>
      <c r="M2" s="13" t="s">
        <v>43</v>
      </c>
      <c r="N2" s="9">
        <f>-(F5+F23)</f>
        <v>-214600</v>
      </c>
    </row>
    <row r="3" spans="1:14" x14ac:dyDescent="0.3">
      <c r="A3" s="2" t="s">
        <v>7</v>
      </c>
      <c r="B3" s="1">
        <v>900</v>
      </c>
      <c r="C3" s="1">
        <v>1500</v>
      </c>
      <c r="D3" s="1">
        <v>80</v>
      </c>
      <c r="E3" s="1">
        <v>1400</v>
      </c>
      <c r="F3" s="4">
        <f>SUM(B3:E3)</f>
        <v>3880</v>
      </c>
      <c r="I3" s="2" t="s">
        <v>92</v>
      </c>
      <c r="J3" s="82">
        <v>0.7</v>
      </c>
      <c r="M3" s="13" t="s">
        <v>96</v>
      </c>
      <c r="N3" s="9">
        <f>-L20</f>
        <v>-395000</v>
      </c>
    </row>
    <row r="4" spans="1:14" ht="15.6" x14ac:dyDescent="0.3">
      <c r="A4" s="2" t="s">
        <v>8</v>
      </c>
      <c r="B4" s="6">
        <f>'Dados de apoio'!H3</f>
        <v>20</v>
      </c>
      <c r="C4" s="6">
        <f>'Dados de apoio'!I3</f>
        <v>30</v>
      </c>
      <c r="D4" s="6">
        <f>'Dados de apoio'!J3</f>
        <v>500</v>
      </c>
      <c r="E4" s="6">
        <f>'Dados de apoio'!K3</f>
        <v>45</v>
      </c>
      <c r="I4" s="13" t="s">
        <v>24</v>
      </c>
      <c r="J4" s="3">
        <f>IF(J2="",6,IFERROR(_xlfn.XLOOKUP(J2,'Dados de apoio'!O:O,'Dados de apoio'!P:P),5))</f>
        <v>3</v>
      </c>
      <c r="M4" s="85" t="s">
        <v>97</v>
      </c>
      <c r="N4" s="84">
        <f>SUM(N1:N3)</f>
        <v>90400</v>
      </c>
    </row>
    <row r="5" spans="1:14" x14ac:dyDescent="0.3">
      <c r="A5" s="2" t="s">
        <v>9</v>
      </c>
      <c r="B5" s="17">
        <f>B3*B4</f>
        <v>18000</v>
      </c>
      <c r="C5" s="17">
        <f>C3*C4</f>
        <v>45000</v>
      </c>
      <c r="D5" s="17">
        <f>D3*D4</f>
        <v>40000</v>
      </c>
      <c r="E5" s="17">
        <f>E3*E4</f>
        <v>63000</v>
      </c>
      <c r="F5" s="7">
        <f>SUM(B5:E5)</f>
        <v>166000</v>
      </c>
      <c r="I5" s="13" t="s">
        <v>61</v>
      </c>
      <c r="J5" s="80">
        <f>J3*(J1/'Dados de apoio'!R4)</f>
        <v>0.42</v>
      </c>
      <c r="N5" s="3" t="str">
        <f>IF(N4&lt;0,"Revisar Caixa","Caixa OK")</f>
        <v>Caixa OK</v>
      </c>
    </row>
    <row r="6" spans="1:14" x14ac:dyDescent="0.3">
      <c r="A6" s="2"/>
      <c r="B6" s="17"/>
      <c r="C6" s="17"/>
      <c r="D6" s="17"/>
      <c r="E6" s="17"/>
      <c r="F6" s="7"/>
    </row>
    <row r="7" spans="1:14" x14ac:dyDescent="0.3">
      <c r="A7" s="2" t="s">
        <v>64</v>
      </c>
      <c r="B7" s="5">
        <f>'Dados de apoio'!H4</f>
        <v>4000</v>
      </c>
      <c r="C7" s="5">
        <f>'Dados de apoio'!I4</f>
        <v>6000</v>
      </c>
      <c r="D7" s="5">
        <f>'Dados de apoio'!J4</f>
        <v>700</v>
      </c>
      <c r="E7" s="5">
        <f>'Dados de apoio'!K4</f>
        <v>5000</v>
      </c>
      <c r="F7" s="7">
        <f>SUM(B7:E7)</f>
        <v>15700</v>
      </c>
    </row>
    <row r="8" spans="1:14" x14ac:dyDescent="0.3">
      <c r="A8" s="2" t="s">
        <v>15</v>
      </c>
      <c r="B8" s="11">
        <f>B3/B7</f>
        <v>0.22500000000000001</v>
      </c>
      <c r="C8" s="11">
        <f>C3/C7</f>
        <v>0.25</v>
      </c>
      <c r="D8" s="11">
        <f>D3/D7</f>
        <v>0.11428571428571428</v>
      </c>
      <c r="E8" s="11">
        <f>E3/E7</f>
        <v>0.28000000000000003</v>
      </c>
      <c r="F8" s="229">
        <f>F3/F7</f>
        <v>0.24713375796178344</v>
      </c>
    </row>
    <row r="9" spans="1:14" x14ac:dyDescent="0.3">
      <c r="A9" s="18"/>
      <c r="B9" s="19"/>
      <c r="C9" s="19"/>
      <c r="D9" s="19"/>
      <c r="E9" s="19"/>
      <c r="F9" s="20"/>
      <c r="J9" s="3" t="s">
        <v>79</v>
      </c>
      <c r="K9" s="3" t="s">
        <v>80</v>
      </c>
    </row>
    <row r="10" spans="1:14" x14ac:dyDescent="0.3">
      <c r="A10" s="2"/>
      <c r="I10" s="13" t="s">
        <v>60</v>
      </c>
      <c r="J10" s="11">
        <f>F8</f>
        <v>0.24713375796178344</v>
      </c>
      <c r="K10" s="80">
        <f>F26</f>
        <v>0.34484076433121019</v>
      </c>
    </row>
    <row r="11" spans="1:14" x14ac:dyDescent="0.3">
      <c r="A11" s="2" t="s">
        <v>12</v>
      </c>
      <c r="B11" s="12">
        <v>0.14000000000000001</v>
      </c>
      <c r="C11" s="12">
        <v>0.11</v>
      </c>
      <c r="D11" s="12">
        <v>0.3</v>
      </c>
      <c r="E11" s="12">
        <v>0.19</v>
      </c>
      <c r="I11" s="13" t="s">
        <v>88</v>
      </c>
      <c r="J11" s="10">
        <f>SUM(B14:E14)</f>
        <v>992.90028147781743</v>
      </c>
      <c r="K11" s="10">
        <f>SUM(B31:E31)</f>
        <v>985.6384187777503</v>
      </c>
    </row>
    <row r="12" spans="1:14" x14ac:dyDescent="0.3">
      <c r="A12" s="2" t="s">
        <v>13</v>
      </c>
      <c r="B12" s="8">
        <f>'Dados de apoio'!H5</f>
        <v>0.12</v>
      </c>
      <c r="C12" s="8">
        <f>'Dados de apoio'!I5</f>
        <v>7.0000000000000007E-2</v>
      </c>
      <c r="D12" s="8">
        <f>'Dados de apoio'!J5</f>
        <v>0.25</v>
      </c>
      <c r="E12" s="8">
        <f>'Dados de apoio'!K5</f>
        <v>0.17</v>
      </c>
      <c r="G12" s="69"/>
    </row>
    <row r="13" spans="1:14" x14ac:dyDescent="0.3">
      <c r="A13" s="2"/>
      <c r="J13" s="3" t="s">
        <v>53</v>
      </c>
      <c r="K13" s="3" t="s">
        <v>53</v>
      </c>
      <c r="L13" s="3" t="s">
        <v>81</v>
      </c>
    </row>
    <row r="14" spans="1:14" x14ac:dyDescent="0.3">
      <c r="A14" s="2" t="s">
        <v>10</v>
      </c>
      <c r="B14" s="10">
        <f>(B4/(100%-B12))*(100%+B11)</f>
        <v>25.90909090909091</v>
      </c>
      <c r="C14" s="10">
        <f>(C4/(100%-C12))*(100%+C11)</f>
        <v>35.806451612903231</v>
      </c>
      <c r="D14" s="10">
        <f>(D4/(100%-D12))*(100%+D11)</f>
        <v>866.66666666666663</v>
      </c>
      <c r="E14" s="10">
        <f>(E4/(100%-E12))*(100%+E11)</f>
        <v>64.518072289156621</v>
      </c>
      <c r="G14" s="9"/>
      <c r="I14" s="2" t="s">
        <v>55</v>
      </c>
      <c r="J14" s="1" t="s">
        <v>172</v>
      </c>
      <c r="K14" s="3" t="str">
        <f>J14</f>
        <v>Sim</v>
      </c>
      <c r="L14" s="6">
        <f>IF(K14="Sim",_xlfn.XLOOKUP(I14,'Dados de apoio'!A:A,'Dados de apoio'!C:C),0)</f>
        <v>50000</v>
      </c>
    </row>
    <row r="15" spans="1:14" x14ac:dyDescent="0.3">
      <c r="A15" s="18"/>
      <c r="B15" s="21"/>
      <c r="C15" s="21"/>
      <c r="D15" s="21"/>
      <c r="E15" s="68"/>
      <c r="F15" s="20"/>
      <c r="G15" s="9"/>
      <c r="I15" s="2" t="s">
        <v>56</v>
      </c>
      <c r="J15" s="1" t="s">
        <v>172</v>
      </c>
      <c r="K15" s="3" t="str">
        <f>J15</f>
        <v>Sim</v>
      </c>
      <c r="L15" s="6">
        <f>IF(K15="Sim",_xlfn.XLOOKUP(I15,'Dados de apoio'!A:A,'Dados de apoio'!C:C),0)</f>
        <v>75000</v>
      </c>
    </row>
    <row r="16" spans="1:14" x14ac:dyDescent="0.3">
      <c r="I16" s="2" t="s">
        <v>57</v>
      </c>
      <c r="J16" s="1" t="s">
        <v>172</v>
      </c>
      <c r="K16" s="1" t="str">
        <f>J16</f>
        <v>Sim</v>
      </c>
      <c r="L16" s="6">
        <f>IF(K16="Sim",_xlfn.XLOOKUP(I16,'Dados de apoio'!A:A,'Dados de apoio'!C:C),0)</f>
        <v>80000</v>
      </c>
    </row>
    <row r="17" spans="1:12" x14ac:dyDescent="0.3">
      <c r="I17" s="2" t="s">
        <v>58</v>
      </c>
      <c r="J17" s="1" t="s">
        <v>172</v>
      </c>
      <c r="K17" s="1" t="str">
        <f t="shared" ref="K17:K19" si="0">J17</f>
        <v>Sim</v>
      </c>
      <c r="L17" s="6">
        <f>IF(K17="Sim",_xlfn.XLOOKUP(I17,'Dados de apoio'!A:A,'Dados de apoio'!C:C),0)</f>
        <v>65000</v>
      </c>
    </row>
    <row r="18" spans="1:12" ht="15" thickBot="1" x14ac:dyDescent="0.35">
      <c r="A18" s="81" t="s">
        <v>82</v>
      </c>
      <c r="I18" s="2" t="s">
        <v>152</v>
      </c>
      <c r="J18" s="1" t="s">
        <v>172</v>
      </c>
      <c r="K18" s="1" t="str">
        <f t="shared" si="0"/>
        <v>Sim</v>
      </c>
      <c r="L18" s="6">
        <f>IF(K18="Sim",_xlfn.XLOOKUP(I18,'Dados de apoio'!A:A,'Dados de apoio'!C:C),0)</f>
        <v>80000</v>
      </c>
    </row>
    <row r="19" spans="1:12" ht="15.6" x14ac:dyDescent="0.3">
      <c r="A19" s="231" t="s">
        <v>66</v>
      </c>
      <c r="B19" s="232"/>
      <c r="C19" s="232"/>
      <c r="D19" s="232"/>
      <c r="E19" s="232"/>
      <c r="F19" s="233"/>
      <c r="G19" s="9"/>
      <c r="H19" s="70"/>
      <c r="I19" s="2" t="s">
        <v>59</v>
      </c>
      <c r="J19" s="1" t="s">
        <v>172</v>
      </c>
      <c r="K19" s="1" t="str">
        <f t="shared" si="0"/>
        <v>Sim</v>
      </c>
      <c r="L19" s="6">
        <f>IF(K19="Sim",_xlfn.XLOOKUP(I19,'Dados de apoio'!A:A,'Dados de apoio'!C:C),0)</f>
        <v>45000</v>
      </c>
    </row>
    <row r="20" spans="1:12" ht="15.6" x14ac:dyDescent="0.3">
      <c r="A20" s="4" t="s">
        <v>67</v>
      </c>
      <c r="B20" s="15" t="s">
        <v>3</v>
      </c>
      <c r="C20" s="16" t="s">
        <v>4</v>
      </c>
      <c r="D20" s="16" t="s">
        <v>5</v>
      </c>
      <c r="E20" s="16" t="s">
        <v>6</v>
      </c>
      <c r="F20" s="16" t="s">
        <v>20</v>
      </c>
      <c r="G20" s="9"/>
      <c r="H20" s="70"/>
      <c r="I20" s="2"/>
      <c r="J20" s="2" t="s">
        <v>54</v>
      </c>
      <c r="K20" s="2"/>
      <c r="L20" s="7">
        <f>SUM(L14:L19)</f>
        <v>395000</v>
      </c>
    </row>
    <row r="21" spans="1:12" x14ac:dyDescent="0.3">
      <c r="A21" s="2" t="s">
        <v>73</v>
      </c>
      <c r="B21" s="7">
        <f>B44</f>
        <v>486</v>
      </c>
      <c r="C21" s="7">
        <f t="shared" ref="C21:E21" si="1">C44</f>
        <v>879</v>
      </c>
      <c r="D21" s="7">
        <f t="shared" si="1"/>
        <v>8</v>
      </c>
      <c r="E21" s="7">
        <f t="shared" si="1"/>
        <v>882</v>
      </c>
      <c r="F21" s="7">
        <f t="shared" ref="F21:F22" si="2">SUM(B21:E21)</f>
        <v>2255</v>
      </c>
      <c r="G21" s="9"/>
      <c r="H21" s="70"/>
      <c r="J21" s="13"/>
      <c r="K21" s="7"/>
    </row>
    <row r="22" spans="1:12" x14ac:dyDescent="0.3">
      <c r="A22" s="2" t="s">
        <v>74</v>
      </c>
      <c r="B22" s="1">
        <v>90</v>
      </c>
      <c r="C22" s="1">
        <v>150</v>
      </c>
      <c r="D22" s="1">
        <v>72</v>
      </c>
      <c r="E22" s="1">
        <v>140</v>
      </c>
      <c r="F22" s="7">
        <f t="shared" si="2"/>
        <v>452</v>
      </c>
      <c r="G22" s="9"/>
      <c r="H22" s="70"/>
    </row>
    <row r="23" spans="1:12" x14ac:dyDescent="0.3">
      <c r="A23" s="2" t="s">
        <v>98</v>
      </c>
      <c r="B23" s="10">
        <f>B22*B4</f>
        <v>1800</v>
      </c>
      <c r="C23" s="10">
        <f>C22*C4</f>
        <v>4500</v>
      </c>
      <c r="D23" s="10">
        <f>D22*D4</f>
        <v>36000</v>
      </c>
      <c r="E23" s="10">
        <f>E22*E4</f>
        <v>6300</v>
      </c>
      <c r="F23" s="7">
        <f>SUM(B23:E23)</f>
        <v>48600</v>
      </c>
      <c r="G23" s="9"/>
      <c r="H23" s="70"/>
    </row>
    <row r="24" spans="1:12" x14ac:dyDescent="0.3">
      <c r="A24" s="2" t="s">
        <v>75</v>
      </c>
      <c r="B24" s="17">
        <f>B21+B22</f>
        <v>576</v>
      </c>
      <c r="C24" s="17">
        <f>C21+C22</f>
        <v>1029</v>
      </c>
      <c r="D24" s="17">
        <f>D21+D22</f>
        <v>80</v>
      </c>
      <c r="E24" s="17">
        <f>E21+E22</f>
        <v>1022</v>
      </c>
      <c r="F24" s="7">
        <f>SUM(B24:E24)</f>
        <v>2707</v>
      </c>
      <c r="G24" s="9"/>
      <c r="H24" s="70"/>
      <c r="I24" s="2" t="s">
        <v>138</v>
      </c>
      <c r="J24" s="2" t="s">
        <v>143</v>
      </c>
      <c r="K24" s="2" t="s">
        <v>68</v>
      </c>
      <c r="L24" s="2" t="s">
        <v>68</v>
      </c>
    </row>
    <row r="25" spans="1:12" x14ac:dyDescent="0.3">
      <c r="B25" s="4"/>
      <c r="C25" s="4"/>
      <c r="D25" s="4"/>
      <c r="E25" s="4"/>
      <c r="G25" s="9"/>
      <c r="H25" s="70"/>
      <c r="I25" s="4" t="s">
        <v>139</v>
      </c>
      <c r="J25" s="5">
        <f>J2</f>
        <v>3</v>
      </c>
      <c r="K25" s="69">
        <f>'Dados de apoio'!B12</f>
        <v>120</v>
      </c>
      <c r="L25" s="69">
        <f>K25*J25</f>
        <v>360</v>
      </c>
    </row>
    <row r="26" spans="1:12" x14ac:dyDescent="0.3">
      <c r="A26" s="2" t="s">
        <v>15</v>
      </c>
      <c r="B26" s="11">
        <f>B24/(B7-'Dados de apoio'!H13)</f>
        <v>0.28799999999999998</v>
      </c>
      <c r="C26" s="11">
        <f>C24/(C7-'Dados de apoio'!I13)</f>
        <v>0.34300000000000003</v>
      </c>
      <c r="D26" s="11">
        <f>D24/(D7-'Dados de apoio'!J13)</f>
        <v>0.22857142857142856</v>
      </c>
      <c r="E26" s="11">
        <f>E24/(E7-'Dados de apoio'!K13)</f>
        <v>0.4088</v>
      </c>
      <c r="F26" s="11">
        <f>F24/(F7-'Dados de apoio'!L13)</f>
        <v>0.34484076433121019</v>
      </c>
      <c r="G26" s="9"/>
      <c r="H26" s="70"/>
      <c r="I26" s="4" t="s">
        <v>141</v>
      </c>
      <c r="J26" s="5">
        <f>J1+IF(J18="Sim",4,0)</f>
        <v>10</v>
      </c>
      <c r="K26" s="69">
        <f>'Dados de apoio'!B13</f>
        <v>80</v>
      </c>
      <c r="L26" s="69">
        <f t="shared" ref="L26:L28" si="3">K26*J26</f>
        <v>800</v>
      </c>
    </row>
    <row r="27" spans="1:12" x14ac:dyDescent="0.3">
      <c r="B27" s="4"/>
      <c r="C27" s="4"/>
      <c r="D27" s="4"/>
      <c r="E27" s="4"/>
      <c r="G27" s="9"/>
      <c r="H27" s="70"/>
      <c r="I27" s="4" t="s">
        <v>140</v>
      </c>
      <c r="J27" s="5">
        <v>1</v>
      </c>
      <c r="K27" s="69">
        <f>'Dados de apoio'!B14*IF(K17="sim",1.3,1)</f>
        <v>650</v>
      </c>
      <c r="L27" s="69">
        <f t="shared" si="3"/>
        <v>650</v>
      </c>
    </row>
    <row r="28" spans="1:12" x14ac:dyDescent="0.3">
      <c r="A28" s="2" t="s">
        <v>12</v>
      </c>
      <c r="B28" s="12">
        <v>0.13</v>
      </c>
      <c r="C28" s="12">
        <v>0.06</v>
      </c>
      <c r="D28" s="12">
        <v>0.3</v>
      </c>
      <c r="E28" s="12">
        <v>0.09</v>
      </c>
      <c r="I28" s="4" t="s">
        <v>142</v>
      </c>
      <c r="J28" s="5">
        <v>1</v>
      </c>
      <c r="K28" s="69">
        <f>'Dados de apoio'!B15*IF(K14="sim",1.2,1)</f>
        <v>600</v>
      </c>
      <c r="L28" s="69">
        <f t="shared" si="3"/>
        <v>600</v>
      </c>
    </row>
    <row r="29" spans="1:12" x14ac:dyDescent="0.3">
      <c r="A29" s="2" t="s">
        <v>13</v>
      </c>
      <c r="B29" s="8">
        <f>'Dados de apoio'!H5</f>
        <v>0.12</v>
      </c>
      <c r="C29" s="8">
        <f>'Dados de apoio'!I5</f>
        <v>7.0000000000000007E-2</v>
      </c>
      <c r="D29" s="8">
        <f>'Dados de apoio'!J5</f>
        <v>0.25</v>
      </c>
      <c r="E29" s="8">
        <f>'Dados de apoio'!K5</f>
        <v>0.17</v>
      </c>
      <c r="J29" s="83"/>
      <c r="K29" s="2" t="s">
        <v>20</v>
      </c>
      <c r="L29" s="83">
        <f>SUM(L25:L28)</f>
        <v>2410</v>
      </c>
    </row>
    <row r="30" spans="1:12" x14ac:dyDescent="0.3">
      <c r="A30" s="2"/>
      <c r="J30" s="13"/>
      <c r="K30" s="7"/>
    </row>
    <row r="31" spans="1:12" x14ac:dyDescent="0.3">
      <c r="A31" s="2" t="s">
        <v>10</v>
      </c>
      <c r="B31" s="10">
        <f>(B4/(100%-B29))*(100%+B28)</f>
        <v>25.68181818181818</v>
      </c>
      <c r="C31" s="10">
        <f>(C4/(100%-C29))*(100%+C28)</f>
        <v>34.193548387096776</v>
      </c>
      <c r="D31" s="10">
        <f>(D4/(100%-D29))*(100%+D28)</f>
        <v>866.66666666666663</v>
      </c>
      <c r="E31" s="10">
        <f>(E4/(100%-E29))*(100%+E28)</f>
        <v>59.096385542168676</v>
      </c>
      <c r="J31" s="13"/>
      <c r="K31" s="7"/>
    </row>
    <row r="32" spans="1:12" x14ac:dyDescent="0.3">
      <c r="A32" s="18"/>
      <c r="B32" s="21"/>
      <c r="C32" s="21"/>
      <c r="D32" s="21"/>
      <c r="E32" s="21"/>
      <c r="F32" s="62"/>
      <c r="J32" s="13"/>
      <c r="K32" s="7"/>
    </row>
    <row r="33" spans="1:11" x14ac:dyDescent="0.3">
      <c r="A33" s="2"/>
      <c r="B33" s="10"/>
      <c r="C33" s="10"/>
      <c r="D33" s="10"/>
      <c r="E33" s="10"/>
      <c r="J33" s="13"/>
      <c r="K33" s="7"/>
    </row>
    <row r="34" spans="1:11" ht="15" thickBot="1" x14ac:dyDescent="0.35">
      <c r="A34" s="18"/>
      <c r="B34" s="21"/>
      <c r="C34" s="21"/>
      <c r="D34" s="21"/>
      <c r="E34" s="21"/>
      <c r="F34" s="20"/>
      <c r="J34" s="13"/>
      <c r="K34" s="7"/>
    </row>
    <row r="35" spans="1:11" ht="19.95" customHeight="1" x14ac:dyDescent="0.3">
      <c r="A35" s="231" t="s">
        <v>78</v>
      </c>
      <c r="B35" s="232"/>
      <c r="C35" s="232"/>
      <c r="D35" s="232"/>
      <c r="E35" s="232"/>
      <c r="F35" s="233"/>
    </row>
    <row r="36" spans="1:11" s="22" customFormat="1" ht="25.05" customHeight="1" x14ac:dyDescent="0.3">
      <c r="A36" s="38" t="s">
        <v>49</v>
      </c>
      <c r="B36" s="37">
        <f>_xlfn.XLOOKUP($A36&amp;$A$1,'Rodada 1 de Venda'!$G:$G,'Rodada 1 de Venda'!B:B)</f>
        <v>414</v>
      </c>
      <c r="C36" s="37">
        <f>_xlfn.XLOOKUP($A36&amp;$A1,'Rodada 1 de Venda'!$G:$G,'Rodada 1 de Venda'!C:C)</f>
        <v>621</v>
      </c>
      <c r="D36" s="37">
        <f>_xlfn.XLOOKUP($A36&amp;$A1,'Rodada 1 de Venda'!$G:$G,'Rodada 1 de Venda'!D:D)</f>
        <v>72</v>
      </c>
      <c r="E36" s="37">
        <f>_xlfn.XLOOKUP($A36&amp;$A1,'Rodada 1 de Venda'!$G:$G,'Rodada 1 de Venda'!E:E)</f>
        <v>518</v>
      </c>
      <c r="F36" s="37">
        <f>SUM(B36:E36)</f>
        <v>1625</v>
      </c>
      <c r="J36" s="23"/>
    </row>
    <row r="37" spans="1:11" s="29" customFormat="1" ht="25.05" customHeight="1" x14ac:dyDescent="0.3">
      <c r="A37" s="31" t="s">
        <v>30</v>
      </c>
      <c r="B37" s="32">
        <f>-ROUND(IF($J$14="Sim",0,B36/30*($J$4+_xlfn.XLOOKUP($I$14,'Dados de apoio'!$A:$A,'Dados de apoio'!$B:$B))),0)</f>
        <v>0</v>
      </c>
      <c r="C37" s="32">
        <f>-ROUND(IF($J$14="Sim",0,C36/30*($J$4+_xlfn.XLOOKUP($I$14,'Dados de apoio'!$A:$A,'Dados de apoio'!$B:$B))),0)</f>
        <v>0</v>
      </c>
      <c r="D37" s="32">
        <f>-ROUND(IF($J$14="Sim",0,D36/30*($J$4+_xlfn.XLOOKUP($I$14,'Dados de apoio'!$A:$A,'Dados de apoio'!$B:$B))),0)</f>
        <v>0</v>
      </c>
      <c r="E37" s="32">
        <f>-ROUND(IF($J$14="Sim",0,E36/30*($J$4+_xlfn.XLOOKUP($I$14,'Dados de apoio'!$A:$A,'Dados de apoio'!$B:$B))),0)</f>
        <v>0</v>
      </c>
      <c r="F37" s="33">
        <f>SUM(B37:E37)</f>
        <v>0</v>
      </c>
      <c r="G37" s="31"/>
      <c r="J37" s="30"/>
    </row>
    <row r="38" spans="1:11" s="29" customFormat="1" ht="25.05" customHeight="1" x14ac:dyDescent="0.3">
      <c r="A38" s="31" t="s">
        <v>31</v>
      </c>
      <c r="B38" s="32">
        <f>-ROUND(IF($J$15="Sim",0,B36/30*($J$4+_xlfn.XLOOKUP($I$15,'Dados de apoio'!$A:$A,'Dados de apoio'!$B:$B))),0)</f>
        <v>0</v>
      </c>
      <c r="C38" s="32">
        <v>0</v>
      </c>
      <c r="D38" s="32">
        <v>0</v>
      </c>
      <c r="E38" s="32">
        <v>0</v>
      </c>
      <c r="F38" s="33">
        <f>SUM(B38:E38)</f>
        <v>0</v>
      </c>
      <c r="G38" s="31"/>
      <c r="J38" s="30"/>
    </row>
    <row r="39" spans="1:11" s="29" customFormat="1" ht="25.05" customHeight="1" x14ac:dyDescent="0.3">
      <c r="A39" s="31" t="s">
        <v>45</v>
      </c>
      <c r="B39" s="32">
        <f>IF(SUM(B36:B38)&gt;B3,B3-SUM(B36:B38),0)</f>
        <v>0</v>
      </c>
      <c r="C39" s="32">
        <f>IF(SUM(C36:C38)&gt;C3,C3-SUM(C36:C38),0)</f>
        <v>0</v>
      </c>
      <c r="D39" s="32">
        <f>IF(SUM(D36:D38)&gt;D3,D3-SUM(D36:D38),0)</f>
        <v>0</v>
      </c>
      <c r="E39" s="32">
        <f>IF(SUM(E36:E38)&gt;E3,E3-SUM(E36:E38),0)</f>
        <v>0</v>
      </c>
      <c r="F39" s="33">
        <f>SUM(B39:E39)</f>
        <v>0</v>
      </c>
      <c r="G39" s="31"/>
      <c r="J39" s="30"/>
    </row>
    <row r="40" spans="1:11" s="29" customFormat="1" ht="25.05" customHeight="1" x14ac:dyDescent="0.3">
      <c r="A40" s="34" t="s">
        <v>23</v>
      </c>
      <c r="B40" s="33">
        <f>SUM(B36:B39)</f>
        <v>414</v>
      </c>
      <c r="C40" s="33">
        <f t="shared" ref="C40:E40" si="4">SUM(C36:C39)</f>
        <v>621</v>
      </c>
      <c r="D40" s="33">
        <f t="shared" si="4"/>
        <v>72</v>
      </c>
      <c r="E40" s="33">
        <f t="shared" si="4"/>
        <v>518</v>
      </c>
      <c r="F40" s="33">
        <f>SUM(F36:F39)</f>
        <v>1625</v>
      </c>
      <c r="G40" s="31"/>
      <c r="J40" s="30"/>
    </row>
    <row r="41" spans="1:11" s="22" customFormat="1" ht="25.05" customHeight="1" x14ac:dyDescent="0.3">
      <c r="A41" s="31"/>
      <c r="B41" s="32"/>
      <c r="C41" s="32"/>
      <c r="D41" s="32"/>
      <c r="E41" s="32"/>
      <c r="F41" s="31"/>
      <c r="G41" s="31"/>
      <c r="J41" s="23"/>
    </row>
    <row r="42" spans="1:11" s="22" customFormat="1" ht="25.05" customHeight="1" x14ac:dyDescent="0.3">
      <c r="A42" s="34" t="s">
        <v>22</v>
      </c>
      <c r="B42" s="35">
        <f>B40*B$14</f>
        <v>10726.363636363636</v>
      </c>
      <c r="C42" s="35">
        <f t="shared" ref="C42:E42" si="5">C40*C$14</f>
        <v>22235.806451612905</v>
      </c>
      <c r="D42" s="35">
        <f t="shared" si="5"/>
        <v>62400</v>
      </c>
      <c r="E42" s="35">
        <f t="shared" si="5"/>
        <v>33420.361445783128</v>
      </c>
      <c r="F42" s="36">
        <f>SUM(B42:E42)</f>
        <v>128782.53153375967</v>
      </c>
      <c r="G42" s="31"/>
      <c r="J42" s="23"/>
    </row>
    <row r="43" spans="1:11" s="22" customFormat="1" ht="25.05" customHeight="1" x14ac:dyDescent="0.3">
      <c r="A43" s="25"/>
      <c r="B43" s="26"/>
      <c r="C43" s="26"/>
      <c r="D43" s="26"/>
      <c r="E43" s="26"/>
      <c r="F43" s="27"/>
      <c r="J43" s="23"/>
    </row>
    <row r="44" spans="1:11" s="22" customFormat="1" ht="25.05" customHeight="1" x14ac:dyDescent="0.3">
      <c r="A44" s="25" t="s">
        <v>43</v>
      </c>
      <c r="B44" s="26">
        <f>B3-B40</f>
        <v>486</v>
      </c>
      <c r="C44" s="26">
        <f>C3-C40</f>
        <v>879</v>
      </c>
      <c r="D44" s="26">
        <f>D3-D40</f>
        <v>8</v>
      </c>
      <c r="E44" s="26">
        <f>E3-E40</f>
        <v>882</v>
      </c>
      <c r="F44" s="26"/>
      <c r="J44" s="23"/>
    </row>
    <row r="45" spans="1:11" s="22" customFormat="1" ht="25.05" customHeight="1" thickBot="1" x14ac:dyDescent="0.35">
      <c r="A45" s="25"/>
      <c r="B45" s="26"/>
      <c r="C45" s="26"/>
      <c r="D45" s="26"/>
      <c r="E45" s="26"/>
      <c r="F45" s="26"/>
      <c r="J45" s="23"/>
    </row>
    <row r="46" spans="1:11" s="22" customFormat="1" ht="19.95" customHeight="1" x14ac:dyDescent="0.3">
      <c r="A46" s="231" t="s">
        <v>76</v>
      </c>
      <c r="B46" s="232"/>
      <c r="C46" s="232"/>
      <c r="D46" s="232"/>
      <c r="E46" s="232"/>
      <c r="F46" s="233"/>
      <c r="J46" s="23"/>
    </row>
    <row r="47" spans="1:11" s="25" customFormat="1" ht="25.05" customHeight="1" x14ac:dyDescent="0.3">
      <c r="A47" s="39" t="s">
        <v>50</v>
      </c>
      <c r="B47" s="37">
        <f>_xlfn.XLOOKUP($A47&amp;$A$1,'Demais Rodadas de Venda'!$G:$G,'Demais Rodadas de Venda'!B:B)</f>
        <v>175</v>
      </c>
      <c r="C47" s="37">
        <f>_xlfn.XLOOKUP($A47&amp;$A$1,'Demais Rodadas de Venda'!$G:$G,'Demais Rodadas de Venda'!C:C)</f>
        <v>263</v>
      </c>
      <c r="D47" s="37">
        <f>_xlfn.XLOOKUP($A47&amp;$A$1,'Demais Rodadas de Venda'!$G:$G,'Demais Rodadas de Venda'!D:D)</f>
        <v>31</v>
      </c>
      <c r="E47" s="37">
        <f>_xlfn.XLOOKUP($A47&amp;$A$1,'Demais Rodadas de Venda'!$G:$G,'Demais Rodadas de Venda'!E:E)</f>
        <v>219</v>
      </c>
      <c r="F47" s="37">
        <f>SUM(B47:E47)</f>
        <v>688</v>
      </c>
      <c r="J47" s="24"/>
    </row>
    <row r="48" spans="1:11" s="22" customFormat="1" ht="25.05" customHeight="1" x14ac:dyDescent="0.3">
      <c r="A48" s="22" t="s">
        <v>33</v>
      </c>
      <c r="B48" s="23">
        <f>-ROUND(IF($J$16="Sim",0,B47/30*($J$4+_xlfn.XLOOKUP($I$16,'Dados de apoio'!$A:$A,'Dados de apoio'!$B:$B))),0)</f>
        <v>0</v>
      </c>
      <c r="C48" s="23">
        <f>-ROUND(IF($J$16="Sim",0,C47/30*($J$4+_xlfn.XLOOKUP($I$16,'Dados de apoio'!$A:$A,'Dados de apoio'!$B:$B))),0)</f>
        <v>0</v>
      </c>
      <c r="D48" s="23">
        <f>-ROUND(IF($J$16="Sim",0,D47/30*($J$4+_xlfn.XLOOKUP($I$16,'Dados de apoio'!$A:$A,'Dados de apoio'!$B:$B))),0)</f>
        <v>0</v>
      </c>
      <c r="E48" s="23">
        <f>-ROUND(IF($J$16="Sim",0,E47/30*($J$4+_xlfn.XLOOKUP($I$16,'Dados de apoio'!$A:$A,'Dados de apoio'!$B:$B))),0)</f>
        <v>0</v>
      </c>
      <c r="F48" s="24">
        <f t="shared" ref="F48:F51" si="6">SUM(B48:E48)</f>
        <v>0</v>
      </c>
      <c r="J48" s="23"/>
    </row>
    <row r="49" spans="1:10" s="22" customFormat="1" ht="25.05" customHeight="1" x14ac:dyDescent="0.3">
      <c r="A49" s="22" t="s">
        <v>34</v>
      </c>
      <c r="B49" s="23">
        <f>-ROUND(IF($J$17="Sim",0,B47/30*($J$4+_xlfn.XLOOKUP($I$17,'Dados de apoio'!$A:$A,'Dados de apoio'!$B:$B))),0)</f>
        <v>0</v>
      </c>
      <c r="C49" s="23">
        <f>-ROUND(IF($J$17="Sim",0,C47/30*($J$4+_xlfn.XLOOKUP($I$17,'Dados de apoio'!$A:$A,'Dados de apoio'!$B:$B))),0)</f>
        <v>0</v>
      </c>
      <c r="D49" s="23">
        <f>-ROUND(IF($J$17="Sim",0,D47/30*($J$4+_xlfn.XLOOKUP($I$17,'Dados de apoio'!$A:$A,'Dados de apoio'!$B:$B))),0)</f>
        <v>0</v>
      </c>
      <c r="E49" s="23">
        <f>-ROUND(IF($J$17="Sim",0,E47/30*($J$4+_xlfn.XLOOKUP($I$17,'Dados de apoio'!$A:$A,'Dados de apoio'!$B:$B))),0)</f>
        <v>0</v>
      </c>
      <c r="F49" s="24">
        <f t="shared" si="6"/>
        <v>0</v>
      </c>
      <c r="J49" s="23"/>
    </row>
    <row r="50" spans="1:10" s="22" customFormat="1" ht="25.05" customHeight="1" x14ac:dyDescent="0.3">
      <c r="A50" s="22" t="s">
        <v>45</v>
      </c>
      <c r="B50" s="23">
        <f>IF(SUM(B47:B49)&gt;B24,B24-SUM(B47:B49),0)</f>
        <v>0</v>
      </c>
      <c r="C50" s="23">
        <f>IF(SUM(C47:C49)&gt;C24,C24-SUM(C47:C49),0)</f>
        <v>0</v>
      </c>
      <c r="D50" s="23">
        <f>IF(SUM(D47:D49)&gt;D24,D24-SUM(D47:D49),0)</f>
        <v>0</v>
      </c>
      <c r="E50" s="23">
        <f>IF(SUM(E47:E49)&gt;E24,E24-SUM(E47:E49),0)</f>
        <v>0</v>
      </c>
      <c r="F50" s="24">
        <f t="shared" si="6"/>
        <v>0</v>
      </c>
      <c r="J50" s="23"/>
    </row>
    <row r="51" spans="1:10" s="22" customFormat="1" ht="25.05" customHeight="1" x14ac:dyDescent="0.3">
      <c r="A51" s="25" t="s">
        <v>23</v>
      </c>
      <c r="B51" s="24">
        <f>SUM(B47:B50)</f>
        <v>175</v>
      </c>
      <c r="C51" s="24">
        <f t="shared" ref="C51:E51" si="7">SUM(C47:C50)</f>
        <v>263</v>
      </c>
      <c r="D51" s="24">
        <f t="shared" si="7"/>
        <v>31</v>
      </c>
      <c r="E51" s="24">
        <f t="shared" si="7"/>
        <v>219</v>
      </c>
      <c r="F51" s="24">
        <f t="shared" si="6"/>
        <v>688</v>
      </c>
      <c r="J51" s="23"/>
    </row>
    <row r="52" spans="1:10" s="22" customFormat="1" ht="25.05" customHeight="1" x14ac:dyDescent="0.3">
      <c r="B52" s="23"/>
      <c r="C52" s="23"/>
      <c r="D52" s="23"/>
      <c r="E52" s="23"/>
      <c r="J52" s="23"/>
    </row>
    <row r="53" spans="1:10" s="22" customFormat="1" ht="25.05" customHeight="1" x14ac:dyDescent="0.3">
      <c r="A53" s="25" t="s">
        <v>22</v>
      </c>
      <c r="B53" s="26">
        <f>B51*B$31</f>
        <v>4494.3181818181811</v>
      </c>
      <c r="C53" s="26">
        <f>C51*C$31</f>
        <v>8992.9032258064526</v>
      </c>
      <c r="D53" s="26">
        <f>D51*D$31</f>
        <v>26866.666666666664</v>
      </c>
      <c r="E53" s="26">
        <f>E51*E$31</f>
        <v>12942.10843373494</v>
      </c>
      <c r="F53" s="27">
        <f>SUM(B53:E53)</f>
        <v>53295.996508026241</v>
      </c>
      <c r="J53" s="23"/>
    </row>
    <row r="54" spans="1:10" s="22" customFormat="1" ht="25.05" customHeight="1" thickBot="1" x14ac:dyDescent="0.35">
      <c r="A54" s="25"/>
      <c r="B54" s="26"/>
      <c r="C54" s="26"/>
      <c r="D54" s="26"/>
      <c r="E54" s="26"/>
      <c r="F54" s="27"/>
      <c r="J54" s="23"/>
    </row>
    <row r="55" spans="1:10" s="22" customFormat="1" ht="25.05" customHeight="1" x14ac:dyDescent="0.3">
      <c r="A55" s="231" t="s">
        <v>36</v>
      </c>
      <c r="B55" s="232"/>
      <c r="C55" s="232"/>
      <c r="D55" s="232"/>
      <c r="E55" s="232"/>
      <c r="F55" s="233"/>
      <c r="J55" s="23"/>
    </row>
    <row r="56" spans="1:10" s="22" customFormat="1" ht="25.05" customHeight="1" x14ac:dyDescent="0.3">
      <c r="A56" s="39" t="s">
        <v>36</v>
      </c>
      <c r="B56" s="45">
        <f>_xlfn.XLOOKUP($A56&amp;$A$1,'Demais Rodadas de Venda'!$G:$G,'Demais Rodadas de Venda'!B:B)</f>
        <v>0</v>
      </c>
      <c r="C56" s="45">
        <f>_xlfn.XLOOKUP($A56&amp;$A$1,'Demais Rodadas de Venda'!$G:$G,'Demais Rodadas de Venda'!C:C)</f>
        <v>400</v>
      </c>
      <c r="D56" s="45">
        <f>_xlfn.XLOOKUP($A56&amp;$A$1,'Demais Rodadas de Venda'!$G:$G,'Demais Rodadas de Venda'!D:D)</f>
        <v>0</v>
      </c>
      <c r="E56" s="45">
        <f>_xlfn.XLOOKUP($A56&amp;$A$1,'Demais Rodadas de Venda'!$G:$G,'Demais Rodadas de Venda'!E:E)</f>
        <v>500</v>
      </c>
      <c r="F56" s="41">
        <f>SUM(B56:E56)</f>
        <v>900</v>
      </c>
      <c r="J56" s="23"/>
    </row>
    <row r="57" spans="1:10" s="22" customFormat="1" ht="25.05" customHeight="1" x14ac:dyDescent="0.3">
      <c r="A57" s="22" t="s">
        <v>45</v>
      </c>
      <c r="B57" s="23">
        <f>IF(B56&gt;0,IF(B56&gt;(B24-B51),(B24-B51)-B56,0),0)</f>
        <v>0</v>
      </c>
      <c r="C57" s="23">
        <f>IF(C56&gt;0,IF(C56&gt;(C24-C51),(C24-C51)-C56,0),0)</f>
        <v>0</v>
      </c>
      <c r="D57" s="23">
        <f>IF(D56&gt;0,IF(D56&gt;(D24-D51),(D24-D51)-D56,0),0)</f>
        <v>0</v>
      </c>
      <c r="E57" s="23">
        <f>IF(E56&gt;0,IF(E56&gt;(E24-E51),(E24-E51)-E56,0),0)</f>
        <v>0</v>
      </c>
      <c r="F57" s="27">
        <f>SUM(B57:E57)</f>
        <v>0</v>
      </c>
      <c r="J57" s="23"/>
    </row>
    <row r="58" spans="1:10" s="22" customFormat="1" ht="25.05" customHeight="1" x14ac:dyDescent="0.3">
      <c r="A58" s="25" t="s">
        <v>46</v>
      </c>
      <c r="B58" s="23">
        <f>SUM(B56:B57)</f>
        <v>0</v>
      </c>
      <c r="C58" s="23">
        <f t="shared" ref="C58:E58" si="8">SUM(C56:C57)</f>
        <v>400</v>
      </c>
      <c r="D58" s="23">
        <f t="shared" si="8"/>
        <v>0</v>
      </c>
      <c r="E58" s="23">
        <f t="shared" si="8"/>
        <v>500</v>
      </c>
      <c r="F58" s="27">
        <f>SUM(B58:E58)</f>
        <v>900</v>
      </c>
      <c r="J58" s="23"/>
    </row>
    <row r="59" spans="1:10" s="22" customFormat="1" ht="25.05" customHeight="1" x14ac:dyDescent="0.3">
      <c r="A59" s="25" t="s">
        <v>10</v>
      </c>
      <c r="B59" s="28">
        <f>_xlfn.XLOOKUP("Preço Atacado"&amp;$A$1,'Demais Rodadas de Venda'!$G:$G,'Demais Rodadas de Venda'!B:B)</f>
        <v>20</v>
      </c>
      <c r="C59" s="28">
        <f>_xlfn.XLOOKUP("Preço Atacado"&amp;$A$1,'Demais Rodadas de Venda'!$G:$G,'Demais Rodadas de Venda'!C:C)</f>
        <v>20</v>
      </c>
      <c r="D59" s="28">
        <f>_xlfn.XLOOKUP("Preço Atacado"&amp;$A$1,'Demais Rodadas de Venda'!$G:$G,'Demais Rodadas de Venda'!D:D)</f>
        <v>20</v>
      </c>
      <c r="E59" s="28">
        <f>_xlfn.XLOOKUP("Preço Atacado"&amp;$A$1,'Demais Rodadas de Venda'!$G:$G,'Demais Rodadas de Venda'!E:E)</f>
        <v>20</v>
      </c>
      <c r="F59" s="27">
        <f t="shared" ref="F59:F60" si="9">SUM(B59:E59)</f>
        <v>80</v>
      </c>
      <c r="J59" s="23"/>
    </row>
    <row r="60" spans="1:10" s="22" customFormat="1" ht="25.05" customHeight="1" x14ac:dyDescent="0.3">
      <c r="A60" s="25" t="s">
        <v>40</v>
      </c>
      <c r="B60" s="26">
        <f>B58*B59</f>
        <v>0</v>
      </c>
      <c r="C60" s="26">
        <f t="shared" ref="C60:E60" si="10">C58*C59</f>
        <v>8000</v>
      </c>
      <c r="D60" s="26">
        <f t="shared" si="10"/>
        <v>0</v>
      </c>
      <c r="E60" s="26">
        <f t="shared" si="10"/>
        <v>10000</v>
      </c>
      <c r="F60" s="27">
        <f t="shared" si="9"/>
        <v>18000</v>
      </c>
      <c r="J60" s="23"/>
    </row>
    <row r="61" spans="1:10" s="22" customFormat="1" ht="25.05" customHeight="1" x14ac:dyDescent="0.3">
      <c r="A61" s="25"/>
      <c r="B61" s="28"/>
      <c r="C61" s="28"/>
      <c r="D61" s="28"/>
      <c r="E61" s="28"/>
      <c r="F61" s="27"/>
      <c r="J61" s="23"/>
    </row>
    <row r="62" spans="1:10" s="22" customFormat="1" ht="25.05" customHeight="1" x14ac:dyDescent="0.3">
      <c r="A62" s="25" t="s">
        <v>38</v>
      </c>
      <c r="B62" s="26">
        <f>B53+B60</f>
        <v>4494.3181818181811</v>
      </c>
      <c r="C62" s="26">
        <f t="shared" ref="C62:E62" si="11">C53+C60</f>
        <v>16992.903225806454</v>
      </c>
      <c r="D62" s="26">
        <f t="shared" si="11"/>
        <v>26866.666666666664</v>
      </c>
      <c r="E62" s="26">
        <f t="shared" si="11"/>
        <v>22942.108433734938</v>
      </c>
      <c r="F62" s="26">
        <f>SUM(B62:E62)</f>
        <v>71295.996508026234</v>
      </c>
      <c r="J62" s="23"/>
    </row>
    <row r="63" spans="1:10" s="22" customFormat="1" ht="14.4" customHeight="1" x14ac:dyDescent="0.3">
      <c r="A63" s="25"/>
      <c r="B63" s="26"/>
      <c r="C63" s="26"/>
      <c r="D63" s="26"/>
      <c r="E63" s="26"/>
      <c r="F63" s="26"/>
      <c r="J63" s="23"/>
    </row>
    <row r="64" spans="1:10" s="22" customFormat="1" ht="25.05" customHeight="1" x14ac:dyDescent="0.3">
      <c r="A64" s="25" t="s">
        <v>43</v>
      </c>
      <c r="B64" s="26">
        <f>B24-B51-B58</f>
        <v>401</v>
      </c>
      <c r="C64" s="26">
        <f>C24-C51-C58</f>
        <v>366</v>
      </c>
      <c r="D64" s="26">
        <f>D24-D51-D58</f>
        <v>49</v>
      </c>
      <c r="E64" s="26">
        <f>E24-E51-E58</f>
        <v>303</v>
      </c>
      <c r="F64" s="26"/>
      <c r="J64" s="23"/>
    </row>
    <row r="65" spans="1:10" s="22" customFormat="1" ht="10.199999999999999" customHeight="1" thickBot="1" x14ac:dyDescent="0.35">
      <c r="B65" s="23"/>
      <c r="C65" s="23"/>
      <c r="D65" s="23"/>
      <c r="E65" s="23"/>
      <c r="J65" s="23"/>
    </row>
    <row r="66" spans="1:10" s="22" customFormat="1" ht="19.95" customHeight="1" x14ac:dyDescent="0.3">
      <c r="A66" s="231" t="s">
        <v>77</v>
      </c>
      <c r="B66" s="232"/>
      <c r="C66" s="232"/>
      <c r="D66" s="232"/>
      <c r="E66" s="232"/>
      <c r="F66" s="233"/>
      <c r="J66" s="23"/>
    </row>
    <row r="67" spans="1:10" s="25" customFormat="1" ht="25.05" customHeight="1" x14ac:dyDescent="0.3">
      <c r="A67" s="39" t="s">
        <v>51</v>
      </c>
      <c r="B67" s="37">
        <f>_xlfn.XLOOKUP($A67&amp;$A$1,'Demais Rodadas de Venda'!$G:$G,'Demais Rodadas de Venda'!B:B)</f>
        <v>263</v>
      </c>
      <c r="C67" s="37">
        <f>_xlfn.XLOOKUP($A67&amp;$A$1,'Demais Rodadas de Venda'!$G:$G,'Demais Rodadas de Venda'!C:C)</f>
        <v>394</v>
      </c>
      <c r="D67" s="37">
        <f>_xlfn.XLOOKUP($A67&amp;$A$1,'Demais Rodadas de Venda'!$G:$G,'Demais Rodadas de Venda'!D:D)</f>
        <v>46</v>
      </c>
      <c r="E67" s="37">
        <f>_xlfn.XLOOKUP($A67&amp;$A$1,'Demais Rodadas de Venda'!$G:$G,'Demais Rodadas de Venda'!E:E)</f>
        <v>329</v>
      </c>
      <c r="F67" s="37">
        <f>SUM(B67:E67)</f>
        <v>1032</v>
      </c>
      <c r="J67" s="24"/>
    </row>
    <row r="68" spans="1:10" s="22" customFormat="1" ht="25.05" customHeight="1" x14ac:dyDescent="0.3">
      <c r="A68" s="22" t="s">
        <v>35</v>
      </c>
      <c r="B68" s="23">
        <f>-ROUND(IF($J$18="Sim",0,B67/30*($J$4+_xlfn.XLOOKUP($I$18,'Dados de apoio'!$A:$A,'Dados de apoio'!$B:$B))),0)</f>
        <v>0</v>
      </c>
      <c r="C68" s="23">
        <f>-ROUND(IF($J$18="Sim",0,C67/30*($J$4+_xlfn.XLOOKUP($I$18,'Dados de apoio'!$A:$A,'Dados de apoio'!$B:$B))),0)</f>
        <v>0</v>
      </c>
      <c r="D68" s="23">
        <f>-ROUND(IF($J$18="Sim",0,D67/30*($J$4+_xlfn.XLOOKUP($I$18,'Dados de apoio'!$A:$A,'Dados de apoio'!$B:$B))),0)</f>
        <v>0</v>
      </c>
      <c r="E68" s="23">
        <f>-ROUND(IF($J$18="Sim",0,E67/30*($J$4+_xlfn.XLOOKUP($I$18,'Dados de apoio'!$A:$A,'Dados de apoio'!$B:$B))),0)</f>
        <v>0</v>
      </c>
      <c r="F68" s="24">
        <f>SUM(B68:E68)</f>
        <v>0</v>
      </c>
      <c r="J68" s="23"/>
    </row>
    <row r="69" spans="1:10" s="22" customFormat="1" ht="25.05" customHeight="1" x14ac:dyDescent="0.3">
      <c r="A69" s="22" t="s">
        <v>45</v>
      </c>
      <c r="B69" s="23">
        <f>IF(SUM(B67:B68)&gt;B64,B64-SUM(B67:B68),0)</f>
        <v>0</v>
      </c>
      <c r="C69" s="23">
        <f t="shared" ref="C69:E69" si="12">IF(SUM(C67:C68)&gt;C64,C64-SUM(C67:C68),0)</f>
        <v>-28</v>
      </c>
      <c r="D69" s="23">
        <f t="shared" si="12"/>
        <v>0</v>
      </c>
      <c r="E69" s="23">
        <f t="shared" si="12"/>
        <v>-26</v>
      </c>
      <c r="F69" s="24">
        <f>SUM(B69:E69)</f>
        <v>-54</v>
      </c>
      <c r="J69" s="23"/>
    </row>
    <row r="70" spans="1:10" s="22" customFormat="1" ht="25.05" customHeight="1" x14ac:dyDescent="0.3">
      <c r="A70" s="25" t="s">
        <v>23</v>
      </c>
      <c r="B70" s="24">
        <f>SUM(B67:B69)</f>
        <v>263</v>
      </c>
      <c r="C70" s="24">
        <f t="shared" ref="C70:E70" si="13">SUM(C67:C69)</f>
        <v>366</v>
      </c>
      <c r="D70" s="24">
        <f t="shared" si="13"/>
        <v>46</v>
      </c>
      <c r="E70" s="24">
        <f t="shared" si="13"/>
        <v>303</v>
      </c>
      <c r="F70" s="24">
        <f>SUM(B70:E70)</f>
        <v>978</v>
      </c>
      <c r="J70" s="23"/>
    </row>
    <row r="71" spans="1:10" s="22" customFormat="1" ht="25.05" customHeight="1" x14ac:dyDescent="0.3">
      <c r="B71" s="23"/>
      <c r="C71" s="23"/>
      <c r="D71" s="23"/>
      <c r="E71" s="23"/>
      <c r="J71" s="23"/>
    </row>
    <row r="72" spans="1:10" s="22" customFormat="1" ht="25.05" customHeight="1" x14ac:dyDescent="0.3">
      <c r="A72" s="25" t="s">
        <v>22</v>
      </c>
      <c r="B72" s="26">
        <f>B70*B$31</f>
        <v>6754.3181818181811</v>
      </c>
      <c r="C72" s="26">
        <f>C70*C$31</f>
        <v>12514.83870967742</v>
      </c>
      <c r="D72" s="26">
        <f>D70*D$31</f>
        <v>39866.666666666664</v>
      </c>
      <c r="E72" s="26">
        <f>E70*E$31</f>
        <v>17906.204819277107</v>
      </c>
      <c r="F72" s="27">
        <f>SUM(B72:E72)</f>
        <v>77042.028377439376</v>
      </c>
      <c r="J72" s="23"/>
    </row>
    <row r="73" spans="1:10" s="22" customFormat="1" ht="25.05" customHeight="1" x14ac:dyDescent="0.3">
      <c r="B73" s="23"/>
      <c r="C73" s="23"/>
      <c r="D73" s="23"/>
      <c r="E73" s="23"/>
      <c r="J73" s="23"/>
    </row>
    <row r="74" spans="1:10" s="22" customFormat="1" ht="25.05" customHeight="1" x14ac:dyDescent="0.3">
      <c r="A74" s="25" t="s">
        <v>44</v>
      </c>
      <c r="B74" s="26">
        <f>B64-B70</f>
        <v>138</v>
      </c>
      <c r="C74" s="26">
        <f t="shared" ref="C74:E74" si="14">C64-C70</f>
        <v>0</v>
      </c>
      <c r="D74" s="26">
        <f t="shared" si="14"/>
        <v>3</v>
      </c>
      <c r="E74" s="26">
        <f t="shared" si="14"/>
        <v>0</v>
      </c>
      <c r="F74" s="27">
        <f>SUM(B74:E74)</f>
        <v>141</v>
      </c>
      <c r="J74" s="23"/>
    </row>
    <row r="75" spans="1:10" s="22" customFormat="1" ht="25.05" customHeight="1" x14ac:dyDescent="0.3">
      <c r="A75" s="25" t="s">
        <v>134</v>
      </c>
      <c r="B75" s="26">
        <f>B74*B4</f>
        <v>2760</v>
      </c>
      <c r="C75" s="26">
        <f t="shared" ref="C75:E75" si="15">C74*C4</f>
        <v>0</v>
      </c>
      <c r="D75" s="26">
        <f t="shared" si="15"/>
        <v>1500</v>
      </c>
      <c r="E75" s="26">
        <f t="shared" si="15"/>
        <v>0</v>
      </c>
      <c r="F75" s="27">
        <f>SUM(B75:E75)</f>
        <v>4260</v>
      </c>
      <c r="J75" s="23"/>
    </row>
    <row r="76" spans="1:10" s="22" customFormat="1" ht="25.05" customHeight="1" thickBot="1" x14ac:dyDescent="0.35">
      <c r="A76" s="25"/>
      <c r="B76" s="26"/>
      <c r="C76" s="26"/>
      <c r="D76" s="26"/>
      <c r="E76" s="26"/>
      <c r="J76" s="23"/>
    </row>
    <row r="77" spans="1:10" s="22" customFormat="1" ht="25.05" customHeight="1" x14ac:dyDescent="0.3">
      <c r="A77" s="231" t="s">
        <v>62</v>
      </c>
      <c r="B77" s="232"/>
      <c r="C77" s="232"/>
      <c r="D77" s="232"/>
      <c r="E77" s="232"/>
      <c r="F77" s="233"/>
      <c r="J77" s="23"/>
    </row>
    <row r="78" spans="1:10" s="22" customFormat="1" ht="9.6" customHeight="1" x14ac:dyDescent="0.3">
      <c r="B78" s="23"/>
      <c r="C78" s="23"/>
      <c r="D78" s="23"/>
      <c r="E78" s="23"/>
      <c r="J78" s="23"/>
    </row>
    <row r="79" spans="1:10" s="22" customFormat="1" ht="25.05" customHeight="1" x14ac:dyDescent="0.3">
      <c r="A79" s="25" t="s">
        <v>41</v>
      </c>
      <c r="B79" s="24">
        <f>B40+B51+B58+B70</f>
        <v>852</v>
      </c>
      <c r="C79" s="24">
        <f>C40+C51+C58+C70</f>
        <v>1650</v>
      </c>
      <c r="D79" s="24">
        <f>D40+D51+D58+D70</f>
        <v>149</v>
      </c>
      <c r="E79" s="24">
        <f>E40+E51+E58+E70</f>
        <v>1540</v>
      </c>
      <c r="F79" s="27">
        <f>SUM(B79:E79)</f>
        <v>4191</v>
      </c>
      <c r="J79" s="23"/>
    </row>
    <row r="80" spans="1:10" s="22" customFormat="1" ht="31.8" customHeight="1" x14ac:dyDescent="0.3">
      <c r="A80" s="22" t="s">
        <v>106</v>
      </c>
      <c r="B80" s="23">
        <f>(B36-B40)+(B47-B51)+B57+(B67-B70)</f>
        <v>0</v>
      </c>
      <c r="C80" s="23">
        <f>(C36-C40)+(C47-C51)+C57+(C67-C70)</f>
        <v>28</v>
      </c>
      <c r="D80" s="23">
        <f>(D36-D40)+(D47-D51)+D57+(D67-D70)</f>
        <v>0</v>
      </c>
      <c r="E80" s="23">
        <f>(E36-E40)+(E47-E51)+E57+(E67-E70)</f>
        <v>26</v>
      </c>
      <c r="F80" s="98">
        <f>SUM(B80:E80)</f>
        <v>54</v>
      </c>
      <c r="J80" s="23"/>
    </row>
    <row r="81" spans="1:10" s="22" customFormat="1" ht="25.05" customHeight="1" x14ac:dyDescent="0.3">
      <c r="A81" s="39" t="s">
        <v>39</v>
      </c>
      <c r="B81" s="40">
        <f>B42+B62+B72</f>
        <v>21974.999999999996</v>
      </c>
      <c r="C81" s="40">
        <f>C42+C62+C72</f>
        <v>51743.548387096787</v>
      </c>
      <c r="D81" s="40">
        <f>D42+D62+D72</f>
        <v>129133.33333333331</v>
      </c>
      <c r="E81" s="40">
        <f>E42+E62+E72</f>
        <v>74268.674698795177</v>
      </c>
      <c r="F81" s="41">
        <f>SUM(B81:E81)</f>
        <v>277120.55641922529</v>
      </c>
      <c r="J81" s="23"/>
    </row>
    <row r="82" spans="1:10" s="22" customFormat="1" ht="25.05" customHeight="1" x14ac:dyDescent="0.3">
      <c r="A82" s="25"/>
      <c r="B82" s="24"/>
      <c r="C82" s="24"/>
      <c r="D82" s="24"/>
      <c r="E82" s="24"/>
      <c r="F82" s="25"/>
      <c r="J82" s="23"/>
    </row>
    <row r="83" spans="1:10" s="22" customFormat="1" ht="25.05" customHeight="1" x14ac:dyDescent="0.3">
      <c r="A83" s="25" t="s">
        <v>42</v>
      </c>
      <c r="B83" s="26">
        <f>B79*B4</f>
        <v>17040</v>
      </c>
      <c r="C83" s="26">
        <f>C79*C4</f>
        <v>49500</v>
      </c>
      <c r="D83" s="26">
        <f>D79*D4</f>
        <v>74500</v>
      </c>
      <c r="E83" s="26">
        <f>E79*E4</f>
        <v>69300</v>
      </c>
      <c r="F83" s="27">
        <f>SUM(B83:E83)</f>
        <v>210340</v>
      </c>
      <c r="J83" s="23"/>
    </row>
    <row r="84" spans="1:10" s="22" customFormat="1" ht="25.05" customHeight="1" x14ac:dyDescent="0.3">
      <c r="A84" s="25"/>
      <c r="B84" s="24"/>
      <c r="C84" s="24"/>
      <c r="D84" s="24"/>
      <c r="E84" s="24"/>
      <c r="F84" s="25"/>
      <c r="J84" s="23"/>
    </row>
    <row r="85" spans="1:10" s="22" customFormat="1" ht="25.05" customHeight="1" x14ac:dyDescent="0.3">
      <c r="A85" s="25" t="s">
        <v>11</v>
      </c>
      <c r="B85" s="26">
        <f>B81*B12</f>
        <v>2636.9999999999995</v>
      </c>
      <c r="C85" s="26">
        <f>C81*C12</f>
        <v>3622.0483870967755</v>
      </c>
      <c r="D85" s="26">
        <f>D81*D12</f>
        <v>32283.333333333328</v>
      </c>
      <c r="E85" s="26">
        <f>E81*E12</f>
        <v>12625.674698795181</v>
      </c>
      <c r="F85" s="27">
        <f>SUM(B85:E85)</f>
        <v>51168.056419225279</v>
      </c>
      <c r="G85" s="133"/>
      <c r="I85" s="98">
        <f>F81-F85</f>
        <v>225952.5</v>
      </c>
      <c r="J85" s="23"/>
    </row>
    <row r="86" spans="1:10" s="22" customFormat="1" ht="13.8" customHeight="1" x14ac:dyDescent="0.3">
      <c r="A86" s="25"/>
      <c r="B86" s="134"/>
      <c r="C86" s="134"/>
      <c r="D86" s="134"/>
      <c r="E86" s="134"/>
      <c r="F86" s="134"/>
      <c r="J86" s="23"/>
    </row>
    <row r="87" spans="1:10" s="22" customFormat="1" ht="25.05" customHeight="1" x14ac:dyDescent="0.3">
      <c r="A87" s="25" t="s">
        <v>84</v>
      </c>
      <c r="B87" s="26">
        <f>B75*'Dados de apoio'!H6</f>
        <v>55.2</v>
      </c>
      <c r="C87" s="26">
        <f>C75*'Dados de apoio'!I6</f>
        <v>0</v>
      </c>
      <c r="D87" s="26">
        <f>D75*'Dados de apoio'!J6</f>
        <v>0</v>
      </c>
      <c r="E87" s="26">
        <f>E75*'Dados de apoio'!K6</f>
        <v>0</v>
      </c>
      <c r="F87" s="27">
        <f>SUM(B87:E87)</f>
        <v>55.2</v>
      </c>
      <c r="J87" s="23"/>
    </row>
    <row r="88" spans="1:10" s="22" customFormat="1" ht="16.8" customHeight="1" x14ac:dyDescent="0.3">
      <c r="A88" s="25"/>
      <c r="B88" s="26"/>
      <c r="C88" s="26"/>
      <c r="D88" s="26"/>
      <c r="E88" s="26"/>
      <c r="F88" s="27"/>
      <c r="J88" s="23"/>
    </row>
    <row r="89" spans="1:10" s="22" customFormat="1" ht="25.05" customHeight="1" x14ac:dyDescent="0.3">
      <c r="A89" s="25" t="s">
        <v>135</v>
      </c>
      <c r="B89" s="26">
        <f>B75*'Dados de apoio'!H7</f>
        <v>160.99999999999997</v>
      </c>
      <c r="C89" s="26">
        <f>C75*'Dados de apoio'!I7</f>
        <v>0</v>
      </c>
      <c r="D89" s="26">
        <f>D75*'Dados de apoio'!J7</f>
        <v>20</v>
      </c>
      <c r="E89" s="26">
        <f>E75*'Dados de apoio'!K7</f>
        <v>0</v>
      </c>
      <c r="F89" s="27">
        <f>SUM(B89:E89)</f>
        <v>180.99999999999997</v>
      </c>
      <c r="J89" s="23"/>
    </row>
    <row r="90" spans="1:10" s="22" customFormat="1" ht="12.6" customHeight="1" x14ac:dyDescent="0.3">
      <c r="B90" s="23"/>
      <c r="C90" s="23"/>
      <c r="D90" s="23"/>
      <c r="E90" s="23"/>
      <c r="J90" s="23"/>
    </row>
    <row r="91" spans="1:10" s="22" customFormat="1" ht="25.05" customHeight="1" x14ac:dyDescent="0.3">
      <c r="A91" s="42" t="s">
        <v>63</v>
      </c>
      <c r="B91" s="43">
        <f>IFERROR((B81-B83-B85)/(B81-B85),0)</f>
        <v>0.118833385044989</v>
      </c>
      <c r="C91" s="43">
        <f>IFERROR((C81-C83-C85)/(C81-C85),0)</f>
        <v>-2.8646239207007009E-2</v>
      </c>
      <c r="D91" s="43">
        <f>IFERROR((D81-D83-D85)/(D81-D85),0)</f>
        <v>0.23076923076923064</v>
      </c>
      <c r="E91" s="43">
        <f>IFERROR((E81-E83-E85)/(E81-E85),0)</f>
        <v>-0.12421523936213363</v>
      </c>
      <c r="F91" s="44">
        <f>IFERROR((F81-F83-F85)/(F81-F85),0)</f>
        <v>6.9096380876511723E-2</v>
      </c>
      <c r="J91" s="23"/>
    </row>
  </sheetData>
  <mergeCells count="6">
    <mergeCell ref="A77:F77"/>
    <mergeCell ref="A66:F66"/>
    <mergeCell ref="A19:F19"/>
    <mergeCell ref="A35:F35"/>
    <mergeCell ref="A46:F46"/>
    <mergeCell ref="A55:F55"/>
  </mergeCells>
  <dataValidations count="1">
    <dataValidation type="list" allowBlank="1" showInputMessage="1" showErrorMessage="1" sqref="J14:J19 K16:K19" xr:uid="{0666A73A-5EE4-4522-96C9-67CD38BF49E9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C51B-19C8-4AB1-88EB-05E646B6014F}">
  <dimension ref="A1:N91"/>
  <sheetViews>
    <sheetView showGridLines="0" zoomScale="120" zoomScaleNormal="120" workbookViewId="0">
      <pane ySplit="1" topLeftCell="A42" activePane="bottomLeft" state="frozen"/>
      <selection pane="bottomLeft" activeCell="B59" sqref="B59:E59"/>
    </sheetView>
  </sheetViews>
  <sheetFormatPr defaultRowHeight="14.4" x14ac:dyDescent="0.3"/>
  <cols>
    <col min="1" max="1" width="24.33203125" style="4" bestFit="1" customWidth="1"/>
    <col min="2" max="2" width="11" style="5" bestFit="1" customWidth="1"/>
    <col min="3" max="5" width="11.88671875" style="5" bestFit="1" customWidth="1"/>
    <col min="6" max="6" width="11.88671875" style="4" bestFit="1" customWidth="1"/>
    <col min="7" max="7" width="4.6640625" style="4" customWidth="1"/>
    <col min="8" max="8" width="4.109375" style="4" customWidth="1"/>
    <col min="9" max="9" width="34.5546875" style="4" bestFit="1" customWidth="1"/>
    <col min="10" max="10" width="11.5546875" style="5" bestFit="1" customWidth="1"/>
    <col min="11" max="11" width="11.6640625" style="4" bestFit="1" customWidth="1"/>
    <col min="12" max="12" width="11.88671875" style="4" bestFit="1" customWidth="1"/>
    <col min="13" max="13" width="8" style="4" bestFit="1" customWidth="1"/>
    <col min="14" max="14" width="12.88671875" style="4" bestFit="1" customWidth="1"/>
    <col min="15" max="16384" width="8.88671875" style="4"/>
  </cols>
  <sheetData>
    <row r="1" spans="1:14" ht="19.8" customHeight="1" thickBot="1" x14ac:dyDescent="0.35">
      <c r="A1" s="14" t="s">
        <v>2</v>
      </c>
      <c r="B1" s="15" t="s">
        <v>3</v>
      </c>
      <c r="C1" s="16" t="s">
        <v>4</v>
      </c>
      <c r="D1" s="16" t="s">
        <v>5</v>
      </c>
      <c r="E1" s="16" t="s">
        <v>6</v>
      </c>
      <c r="F1" s="16" t="s">
        <v>20</v>
      </c>
      <c r="I1" s="2" t="s">
        <v>85</v>
      </c>
      <c r="J1" s="48">
        <v>10</v>
      </c>
      <c r="M1" s="85" t="s">
        <v>94</v>
      </c>
      <c r="N1" s="84">
        <f>'Dados de apoio'!B21</f>
        <v>700000</v>
      </c>
    </row>
    <row r="2" spans="1:14" x14ac:dyDescent="0.3">
      <c r="I2" s="2" t="s">
        <v>90</v>
      </c>
      <c r="J2" s="48">
        <v>4</v>
      </c>
      <c r="M2" s="13" t="s">
        <v>43</v>
      </c>
      <c r="N2" s="9">
        <f>-(F5+F23)</f>
        <v>-305000</v>
      </c>
    </row>
    <row r="3" spans="1:14" x14ac:dyDescent="0.3">
      <c r="A3" s="2" t="s">
        <v>7</v>
      </c>
      <c r="B3" s="1">
        <v>800</v>
      </c>
      <c r="C3" s="1">
        <v>1200</v>
      </c>
      <c r="D3" s="1">
        <v>140</v>
      </c>
      <c r="E3" s="1">
        <v>1000</v>
      </c>
      <c r="F3" s="4">
        <f>SUM(B3:E3)</f>
        <v>3140</v>
      </c>
      <c r="I3" s="2" t="s">
        <v>92</v>
      </c>
      <c r="J3" s="82">
        <v>0.2</v>
      </c>
      <c r="M3" s="13" t="s">
        <v>96</v>
      </c>
      <c r="N3" s="9">
        <f>-L20</f>
        <v>-395000</v>
      </c>
    </row>
    <row r="4" spans="1:14" ht="15.6" x14ac:dyDescent="0.3">
      <c r="A4" s="2" t="s">
        <v>8</v>
      </c>
      <c r="B4" s="6">
        <f>'Dados de apoio'!H3</f>
        <v>20</v>
      </c>
      <c r="C4" s="6">
        <f>'Dados de apoio'!I3</f>
        <v>30</v>
      </c>
      <c r="D4" s="6">
        <f>'Dados de apoio'!J3</f>
        <v>500</v>
      </c>
      <c r="E4" s="6">
        <f>'Dados de apoio'!K3</f>
        <v>45</v>
      </c>
      <c r="I4" s="13" t="s">
        <v>24</v>
      </c>
      <c r="J4" s="3">
        <f>IF(J2="",6,IFERROR(_xlfn.XLOOKUP(J2,'Dados de apoio'!O:O,'Dados de apoio'!P:P),5))</f>
        <v>2</v>
      </c>
      <c r="M4" s="85" t="s">
        <v>97</v>
      </c>
      <c r="N4" s="84">
        <f>SUM(N1:N3)</f>
        <v>0</v>
      </c>
    </row>
    <row r="5" spans="1:14" x14ac:dyDescent="0.3">
      <c r="A5" s="2" t="s">
        <v>9</v>
      </c>
      <c r="B5" s="17">
        <f>B3*B4</f>
        <v>16000</v>
      </c>
      <c r="C5" s="17">
        <f>C3*C4</f>
        <v>36000</v>
      </c>
      <c r="D5" s="17">
        <f>D3*D4</f>
        <v>70000</v>
      </c>
      <c r="E5" s="17">
        <f>E3*E4</f>
        <v>45000</v>
      </c>
      <c r="F5" s="7">
        <f>SUM(B5:E5)</f>
        <v>167000</v>
      </c>
      <c r="I5" s="13" t="s">
        <v>61</v>
      </c>
      <c r="J5" s="80">
        <f>J3*(J1/'Dados de apoio'!R4)</f>
        <v>0.2</v>
      </c>
      <c r="N5" s="3" t="str">
        <f>IF(N4&lt;0,"Revisar Caixa","Caixa OK")</f>
        <v>Caixa OK</v>
      </c>
    </row>
    <row r="6" spans="1:14" x14ac:dyDescent="0.3">
      <c r="A6" s="2"/>
      <c r="B6" s="17"/>
      <c r="C6" s="17"/>
      <c r="D6" s="17"/>
      <c r="E6" s="17"/>
      <c r="F6" s="7"/>
    </row>
    <row r="7" spans="1:14" x14ac:dyDescent="0.3">
      <c r="A7" s="2" t="s">
        <v>64</v>
      </c>
      <c r="B7" s="5">
        <f>'Dados de apoio'!H4</f>
        <v>4000</v>
      </c>
      <c r="C7" s="5">
        <f>'Dados de apoio'!I4</f>
        <v>6000</v>
      </c>
      <c r="D7" s="5">
        <f>'Dados de apoio'!J4</f>
        <v>700</v>
      </c>
      <c r="E7" s="5">
        <f>'Dados de apoio'!K4</f>
        <v>5000</v>
      </c>
      <c r="F7" s="7">
        <f>SUM(B7:E7)</f>
        <v>15700</v>
      </c>
    </row>
    <row r="8" spans="1:14" x14ac:dyDescent="0.3">
      <c r="A8" s="2" t="s">
        <v>15</v>
      </c>
      <c r="B8" s="11">
        <f>B3/B7</f>
        <v>0.2</v>
      </c>
      <c r="C8" s="11">
        <f>C3/C7</f>
        <v>0.2</v>
      </c>
      <c r="D8" s="11">
        <f>D3/D7</f>
        <v>0.2</v>
      </c>
      <c r="E8" s="11">
        <f>E3/E7</f>
        <v>0.2</v>
      </c>
      <c r="F8" s="11">
        <f>F3/F7</f>
        <v>0.2</v>
      </c>
    </row>
    <row r="9" spans="1:14" x14ac:dyDescent="0.3">
      <c r="A9" s="18"/>
      <c r="B9" s="19"/>
      <c r="C9" s="19"/>
      <c r="D9" s="19"/>
      <c r="E9" s="19"/>
      <c r="F9" s="20"/>
      <c r="J9" s="3" t="s">
        <v>79</v>
      </c>
      <c r="K9" s="3" t="s">
        <v>80</v>
      </c>
    </row>
    <row r="10" spans="1:14" x14ac:dyDescent="0.3">
      <c r="A10" s="2"/>
      <c r="I10" s="13" t="s">
        <v>60</v>
      </c>
      <c r="J10" s="11">
        <f>F8</f>
        <v>0.2</v>
      </c>
      <c r="K10" s="80">
        <f>F26</f>
        <v>0.58305732484076433</v>
      </c>
    </row>
    <row r="11" spans="1:14" x14ac:dyDescent="0.3">
      <c r="A11" s="2" t="s">
        <v>12</v>
      </c>
      <c r="B11" s="12">
        <v>0.2</v>
      </c>
      <c r="C11" s="12">
        <v>0.1</v>
      </c>
      <c r="D11" s="12">
        <v>0.3</v>
      </c>
      <c r="E11" s="12">
        <v>0.15</v>
      </c>
      <c r="I11" s="13" t="s">
        <v>88</v>
      </c>
      <c r="J11" s="10">
        <f>SUM(B14:E14)</f>
        <v>991.77266249749732</v>
      </c>
      <c r="K11" s="10">
        <f>SUM(B31:E31)</f>
        <v>855.72848579066999</v>
      </c>
    </row>
    <row r="12" spans="1:14" x14ac:dyDescent="0.3">
      <c r="A12" s="2" t="s">
        <v>13</v>
      </c>
      <c r="B12" s="8">
        <f>'Dados de apoio'!H5</f>
        <v>0.12</v>
      </c>
      <c r="C12" s="8">
        <f>'Dados de apoio'!I5</f>
        <v>7.0000000000000007E-2</v>
      </c>
      <c r="D12" s="8">
        <f>'Dados de apoio'!J5</f>
        <v>0.25</v>
      </c>
      <c r="E12" s="8">
        <f>'Dados de apoio'!K5</f>
        <v>0.17</v>
      </c>
      <c r="G12" s="69"/>
    </row>
    <row r="13" spans="1:14" x14ac:dyDescent="0.3">
      <c r="A13" s="2"/>
      <c r="J13" s="3" t="s">
        <v>53</v>
      </c>
      <c r="K13" s="3" t="s">
        <v>53</v>
      </c>
      <c r="L13" s="3" t="s">
        <v>81</v>
      </c>
    </row>
    <row r="14" spans="1:14" x14ac:dyDescent="0.3">
      <c r="A14" s="2" t="s">
        <v>10</v>
      </c>
      <c r="B14" s="10">
        <f>(B4/(100%-B12))*(100%+B11)</f>
        <v>27.27272727272727</v>
      </c>
      <c r="C14" s="10">
        <f>(C4/(100%-C12))*(100%+C11)</f>
        <v>35.483870967741936</v>
      </c>
      <c r="D14" s="10">
        <f>(D4/(100%-D12))*(100%+D11)</f>
        <v>866.66666666666663</v>
      </c>
      <c r="E14" s="10">
        <f>(E4/(100%-E12))*(100%+E11)</f>
        <v>62.349397590361441</v>
      </c>
      <c r="G14" s="9"/>
      <c r="I14" s="2" t="s">
        <v>55</v>
      </c>
      <c r="J14" s="1" t="s">
        <v>172</v>
      </c>
      <c r="K14" s="3" t="str">
        <f>J14</f>
        <v>Sim</v>
      </c>
      <c r="L14" s="6">
        <f>IF(K14="Sim",_xlfn.XLOOKUP(I14,'Dados de apoio'!A:A,'Dados de apoio'!C:C),0)</f>
        <v>50000</v>
      </c>
    </row>
    <row r="15" spans="1:14" x14ac:dyDescent="0.3">
      <c r="A15" s="18"/>
      <c r="B15" s="21"/>
      <c r="C15" s="21"/>
      <c r="D15" s="21"/>
      <c r="E15" s="68"/>
      <c r="F15" s="20"/>
      <c r="G15" s="9"/>
      <c r="I15" s="2" t="s">
        <v>56</v>
      </c>
      <c r="J15" s="1" t="s">
        <v>172</v>
      </c>
      <c r="K15" s="3" t="str">
        <f>J15</f>
        <v>Sim</v>
      </c>
      <c r="L15" s="6">
        <f>IF(K15="Sim",_xlfn.XLOOKUP(I15,'Dados de apoio'!A:A,'Dados de apoio'!C:C),0)</f>
        <v>75000</v>
      </c>
    </row>
    <row r="16" spans="1:14" x14ac:dyDescent="0.3">
      <c r="I16" s="2" t="s">
        <v>57</v>
      </c>
      <c r="J16" s="1" t="s">
        <v>172</v>
      </c>
      <c r="K16" s="1" t="str">
        <f>J16</f>
        <v>Sim</v>
      </c>
      <c r="L16" s="6">
        <f>IF(K16="Sim",_xlfn.XLOOKUP(I16,'Dados de apoio'!A:A,'Dados de apoio'!C:C),0)</f>
        <v>80000</v>
      </c>
    </row>
    <row r="17" spans="1:12" x14ac:dyDescent="0.3">
      <c r="I17" s="2" t="s">
        <v>58</v>
      </c>
      <c r="J17" s="1" t="s">
        <v>172</v>
      </c>
      <c r="K17" s="1" t="str">
        <f t="shared" ref="K17:K19" si="0">J17</f>
        <v>Sim</v>
      </c>
      <c r="L17" s="6">
        <f>IF(K17="Sim",_xlfn.XLOOKUP(I17,'Dados de apoio'!A:A,'Dados de apoio'!C:C),0)</f>
        <v>65000</v>
      </c>
    </row>
    <row r="18" spans="1:12" ht="15" thickBot="1" x14ac:dyDescent="0.35">
      <c r="A18" s="81" t="s">
        <v>82</v>
      </c>
      <c r="I18" s="2" t="s">
        <v>152</v>
      </c>
      <c r="J18" s="1" t="s">
        <v>172</v>
      </c>
      <c r="K18" s="1" t="str">
        <f t="shared" si="0"/>
        <v>Sim</v>
      </c>
      <c r="L18" s="6">
        <f>IF(K18="Sim",_xlfn.XLOOKUP(I18,'Dados de apoio'!A:A,'Dados de apoio'!C:C),0)</f>
        <v>80000</v>
      </c>
    </row>
    <row r="19" spans="1:12" ht="15.6" x14ac:dyDescent="0.3">
      <c r="A19" s="231" t="s">
        <v>66</v>
      </c>
      <c r="B19" s="232"/>
      <c r="C19" s="232"/>
      <c r="D19" s="232"/>
      <c r="E19" s="232"/>
      <c r="F19" s="233"/>
      <c r="G19" s="9"/>
      <c r="H19" s="70"/>
      <c r="I19" s="2" t="s">
        <v>59</v>
      </c>
      <c r="J19" s="1" t="s">
        <v>172</v>
      </c>
      <c r="K19" s="1" t="str">
        <f t="shared" si="0"/>
        <v>Sim</v>
      </c>
      <c r="L19" s="6">
        <f>IF(K19="Sim",_xlfn.XLOOKUP(I19,'Dados de apoio'!A:A,'Dados de apoio'!C:C),0)</f>
        <v>45000</v>
      </c>
    </row>
    <row r="20" spans="1:12" ht="15.6" x14ac:dyDescent="0.3">
      <c r="A20" s="4" t="s">
        <v>2</v>
      </c>
      <c r="B20" s="15" t="s">
        <v>3</v>
      </c>
      <c r="C20" s="16" t="s">
        <v>4</v>
      </c>
      <c r="D20" s="16" t="s">
        <v>5</v>
      </c>
      <c r="E20" s="16" t="s">
        <v>6</v>
      </c>
      <c r="F20" s="16" t="s">
        <v>20</v>
      </c>
      <c r="G20" s="9"/>
      <c r="H20" s="70"/>
      <c r="I20" s="2"/>
      <c r="J20" s="2" t="s">
        <v>54</v>
      </c>
      <c r="K20" s="2"/>
      <c r="L20" s="7">
        <f>SUM(L14:L19)</f>
        <v>395000</v>
      </c>
    </row>
    <row r="21" spans="1:12" x14ac:dyDescent="0.3">
      <c r="A21" s="2" t="s">
        <v>73</v>
      </c>
      <c r="B21" s="7">
        <f>B44</f>
        <v>524</v>
      </c>
      <c r="C21" s="7">
        <f t="shared" ref="C21:E21" si="1">C44</f>
        <v>786</v>
      </c>
      <c r="D21" s="7">
        <f t="shared" si="1"/>
        <v>92</v>
      </c>
      <c r="E21" s="7">
        <f t="shared" si="1"/>
        <v>655</v>
      </c>
      <c r="F21" s="7">
        <f t="shared" ref="F21:F22" si="2">SUM(B21:E21)</f>
        <v>2057</v>
      </c>
      <c r="G21" s="9"/>
      <c r="H21" s="70"/>
      <c r="J21" s="13"/>
      <c r="K21" s="7"/>
    </row>
    <row r="22" spans="1:12" x14ac:dyDescent="0.3">
      <c r="A22" s="2" t="s">
        <v>74</v>
      </c>
      <c r="B22" s="1">
        <v>600</v>
      </c>
      <c r="C22" s="1">
        <v>1000</v>
      </c>
      <c r="D22" s="1">
        <v>120</v>
      </c>
      <c r="E22" s="1">
        <v>800</v>
      </c>
      <c r="F22" s="7">
        <f t="shared" si="2"/>
        <v>2520</v>
      </c>
      <c r="G22" s="9"/>
      <c r="H22" s="70"/>
    </row>
    <row r="23" spans="1:12" x14ac:dyDescent="0.3">
      <c r="A23" s="2" t="s">
        <v>98</v>
      </c>
      <c r="B23" s="10">
        <f>B22*B4</f>
        <v>12000</v>
      </c>
      <c r="C23" s="10">
        <f>C22*C4</f>
        <v>30000</v>
      </c>
      <c r="D23" s="10">
        <f>D22*D4</f>
        <v>60000</v>
      </c>
      <c r="E23" s="10">
        <f>E22*E4</f>
        <v>36000</v>
      </c>
      <c r="F23" s="7">
        <f>SUM(B23:E23)</f>
        <v>138000</v>
      </c>
      <c r="G23" s="9"/>
      <c r="H23" s="70"/>
    </row>
    <row r="24" spans="1:12" x14ac:dyDescent="0.3">
      <c r="A24" s="2" t="s">
        <v>75</v>
      </c>
      <c r="B24" s="17">
        <f>B21+B22</f>
        <v>1124</v>
      </c>
      <c r="C24" s="17">
        <f>C21+C22</f>
        <v>1786</v>
      </c>
      <c r="D24" s="17">
        <f>D21+D22</f>
        <v>212</v>
      </c>
      <c r="E24" s="17">
        <f>E21+E22</f>
        <v>1455</v>
      </c>
      <c r="F24" s="7">
        <f>SUM(B24:E24)</f>
        <v>4577</v>
      </c>
      <c r="G24" s="9"/>
      <c r="H24" s="70"/>
      <c r="I24" s="2" t="s">
        <v>138</v>
      </c>
      <c r="J24" s="2" t="s">
        <v>143</v>
      </c>
      <c r="K24" s="2" t="s">
        <v>68</v>
      </c>
      <c r="L24" s="2" t="s">
        <v>68</v>
      </c>
    </row>
    <row r="25" spans="1:12" x14ac:dyDescent="0.3">
      <c r="B25" s="4"/>
      <c r="C25" s="4"/>
      <c r="D25" s="4"/>
      <c r="E25" s="4"/>
      <c r="G25" s="9"/>
      <c r="H25" s="70"/>
      <c r="I25" s="4" t="s">
        <v>139</v>
      </c>
      <c r="J25" s="5">
        <f>J2</f>
        <v>4</v>
      </c>
      <c r="K25" s="69">
        <f>'Dados de apoio'!B12</f>
        <v>120</v>
      </c>
      <c r="L25" s="69">
        <f>K25*J25</f>
        <v>480</v>
      </c>
    </row>
    <row r="26" spans="1:12" x14ac:dyDescent="0.3">
      <c r="A26" s="2" t="s">
        <v>15</v>
      </c>
      <c r="B26" s="11">
        <f>B24/(B7-'Dados de apoio'!H13)</f>
        <v>0.56200000000000006</v>
      </c>
      <c r="C26" s="11">
        <f>C24/(C7-'Dados de apoio'!I13)</f>
        <v>0.59533333333333338</v>
      </c>
      <c r="D26" s="11">
        <f>D24/(D7-'Dados de apoio'!J13)</f>
        <v>0.60571428571428576</v>
      </c>
      <c r="E26" s="11">
        <f>E24/(E7-'Dados de apoio'!K13)</f>
        <v>0.58199999999999996</v>
      </c>
      <c r="F26" s="11">
        <f>F24/(F7-'Dados de apoio'!L13)</f>
        <v>0.58305732484076433</v>
      </c>
      <c r="G26" s="9"/>
      <c r="H26" s="70"/>
      <c r="I26" s="4" t="s">
        <v>141</v>
      </c>
      <c r="J26" s="5">
        <f>J1+IF(J18="Sim",4,0)</f>
        <v>14</v>
      </c>
      <c r="K26" s="69">
        <f>'Dados de apoio'!B13</f>
        <v>80</v>
      </c>
      <c r="L26" s="69">
        <f t="shared" ref="L26:L28" si="3">K26*J26</f>
        <v>1120</v>
      </c>
    </row>
    <row r="27" spans="1:12" x14ac:dyDescent="0.3">
      <c r="B27" s="4"/>
      <c r="C27" s="4"/>
      <c r="D27" s="4"/>
      <c r="E27" s="4"/>
      <c r="G27" s="9"/>
      <c r="H27" s="70"/>
      <c r="I27" s="4" t="s">
        <v>140</v>
      </c>
      <c r="J27" s="5">
        <v>1</v>
      </c>
      <c r="K27" s="69">
        <f>'Dados de apoio'!B14*IF(K17="sim",1.3,1)</f>
        <v>650</v>
      </c>
      <c r="L27" s="69">
        <f t="shared" si="3"/>
        <v>650</v>
      </c>
    </row>
    <row r="28" spans="1:12" x14ac:dyDescent="0.3">
      <c r="A28" s="2" t="s">
        <v>12</v>
      </c>
      <c r="B28" s="12">
        <v>0.2</v>
      </c>
      <c r="C28" s="12">
        <v>0.1</v>
      </c>
      <c r="D28" s="12">
        <v>0.1</v>
      </c>
      <c r="E28" s="12">
        <v>0.1</v>
      </c>
      <c r="I28" s="4" t="s">
        <v>142</v>
      </c>
      <c r="J28" s="5">
        <v>1</v>
      </c>
      <c r="K28" s="69">
        <f>'Dados de apoio'!B15*IF(K14="sim",1.2,1)</f>
        <v>600</v>
      </c>
      <c r="L28" s="69">
        <f t="shared" si="3"/>
        <v>600</v>
      </c>
    </row>
    <row r="29" spans="1:12" x14ac:dyDescent="0.3">
      <c r="A29" s="2" t="s">
        <v>13</v>
      </c>
      <c r="B29" s="8">
        <f>'Dados de apoio'!H5</f>
        <v>0.12</v>
      </c>
      <c r="C29" s="8">
        <f>'Dados de apoio'!I5</f>
        <v>7.0000000000000007E-2</v>
      </c>
      <c r="D29" s="8">
        <f>'Dados de apoio'!J5</f>
        <v>0.25</v>
      </c>
      <c r="E29" s="8">
        <f>'Dados de apoio'!K5</f>
        <v>0.17</v>
      </c>
      <c r="J29" s="83"/>
      <c r="K29" s="2" t="s">
        <v>20</v>
      </c>
      <c r="L29" s="83">
        <f>SUM(L25:L28)</f>
        <v>2850</v>
      </c>
    </row>
    <row r="30" spans="1:12" x14ac:dyDescent="0.3">
      <c r="A30" s="2"/>
      <c r="J30" s="13"/>
      <c r="K30" s="7"/>
    </row>
    <row r="31" spans="1:12" x14ac:dyDescent="0.3">
      <c r="A31" s="2" t="s">
        <v>10</v>
      </c>
      <c r="B31" s="10">
        <f>(B4/(100%-B29))*(100%+B28)</f>
        <v>27.27272727272727</v>
      </c>
      <c r="C31" s="10">
        <f>(C4/(100%-C29))*(100%+C28)</f>
        <v>35.483870967741936</v>
      </c>
      <c r="D31" s="10">
        <f>(D4/(100%-D29))*(100%+D28)</f>
        <v>733.33333333333337</v>
      </c>
      <c r="E31" s="10">
        <f>(E4/(100%-E29))*(100%+E28)</f>
        <v>59.638554216867476</v>
      </c>
      <c r="J31" s="13"/>
      <c r="K31" s="7"/>
    </row>
    <row r="32" spans="1:12" x14ac:dyDescent="0.3">
      <c r="A32" s="18"/>
      <c r="B32" s="21"/>
      <c r="C32" s="21"/>
      <c r="D32" s="21"/>
      <c r="E32" s="21"/>
      <c r="F32" s="62"/>
      <c r="J32" s="13"/>
      <c r="K32" s="7"/>
    </row>
    <row r="33" spans="1:11" x14ac:dyDescent="0.3">
      <c r="A33" s="2"/>
      <c r="B33" s="10"/>
      <c r="C33" s="10"/>
      <c r="D33" s="10"/>
      <c r="E33" s="10"/>
      <c r="J33" s="13"/>
      <c r="K33" s="7"/>
    </row>
    <row r="34" spans="1:11" ht="15" thickBot="1" x14ac:dyDescent="0.35">
      <c r="A34" s="18"/>
      <c r="B34" s="21"/>
      <c r="C34" s="21"/>
      <c r="D34" s="21"/>
      <c r="E34" s="21"/>
      <c r="F34" s="20"/>
      <c r="J34" s="13"/>
      <c r="K34" s="7"/>
    </row>
    <row r="35" spans="1:11" ht="19.95" customHeight="1" x14ac:dyDescent="0.3">
      <c r="A35" s="231" t="s">
        <v>78</v>
      </c>
      <c r="B35" s="232"/>
      <c r="C35" s="232"/>
      <c r="D35" s="232"/>
      <c r="E35" s="232"/>
      <c r="F35" s="233"/>
    </row>
    <row r="36" spans="1:11" s="22" customFormat="1" ht="25.05" customHeight="1" x14ac:dyDescent="0.3">
      <c r="A36" s="38" t="s">
        <v>49</v>
      </c>
      <c r="B36" s="37">
        <f>_xlfn.XLOOKUP($A36&amp;$A$1,'Rodada 1 de Venda'!$G:$G,'Rodada 1 de Venda'!B:B)</f>
        <v>276</v>
      </c>
      <c r="C36" s="37">
        <f>_xlfn.XLOOKUP($A36&amp;$A1,'Rodada 1 de Venda'!$G:$G,'Rodada 1 de Venda'!C:C)</f>
        <v>414</v>
      </c>
      <c r="D36" s="37">
        <f>_xlfn.XLOOKUP($A36&amp;$A1,'Rodada 1 de Venda'!$G:$G,'Rodada 1 de Venda'!D:D)</f>
        <v>48</v>
      </c>
      <c r="E36" s="37">
        <f>_xlfn.XLOOKUP($A36&amp;$A1,'Rodada 1 de Venda'!$G:$G,'Rodada 1 de Venda'!E:E)</f>
        <v>345</v>
      </c>
      <c r="F36" s="37">
        <f>SUM(B36:E36)</f>
        <v>1083</v>
      </c>
      <c r="J36" s="23"/>
    </row>
    <row r="37" spans="1:11" s="29" customFormat="1" ht="25.05" customHeight="1" x14ac:dyDescent="0.3">
      <c r="A37" s="31" t="s">
        <v>30</v>
      </c>
      <c r="B37" s="32">
        <f>-ROUND(IF($J$14="Sim",0,B36/30*($J$4+_xlfn.XLOOKUP($I$14,'Dados de apoio'!$A:$A,'Dados de apoio'!$B:$B))),0)</f>
        <v>0</v>
      </c>
      <c r="C37" s="32">
        <f>-ROUND(IF($J$14="Sim",0,C36/30*($J$4+_xlfn.XLOOKUP($I$14,'Dados de apoio'!$A:$A,'Dados de apoio'!$B:$B))),0)</f>
        <v>0</v>
      </c>
      <c r="D37" s="32">
        <f>-ROUND(IF($J$14="Sim",0,D36/30*($J$4+_xlfn.XLOOKUP($I$14,'Dados de apoio'!$A:$A,'Dados de apoio'!$B:$B))),0)</f>
        <v>0</v>
      </c>
      <c r="E37" s="32">
        <f>-ROUND(IF($J$14="Sim",0,E36/30*($J$4+_xlfn.XLOOKUP($I$14,'Dados de apoio'!$A:$A,'Dados de apoio'!$B:$B))),0)</f>
        <v>0</v>
      </c>
      <c r="F37" s="33">
        <f>SUM(B37:E37)</f>
        <v>0</v>
      </c>
      <c r="G37" s="31"/>
      <c r="J37" s="30"/>
    </row>
    <row r="38" spans="1:11" s="29" customFormat="1" ht="25.05" customHeight="1" x14ac:dyDescent="0.3">
      <c r="A38" s="31" t="s">
        <v>31</v>
      </c>
      <c r="B38" s="32">
        <f>-ROUND(IF($J$15="Sim",0,B36/30*($J$4+_xlfn.XLOOKUP($I$15,'Dados de apoio'!$A:$A,'Dados de apoio'!$B:$B))),0)</f>
        <v>0</v>
      </c>
      <c r="C38" s="32">
        <v>0</v>
      </c>
      <c r="D38" s="32">
        <v>0</v>
      </c>
      <c r="E38" s="32">
        <v>0</v>
      </c>
      <c r="F38" s="33">
        <f>SUM(B38:E38)</f>
        <v>0</v>
      </c>
      <c r="G38" s="31"/>
      <c r="J38" s="30"/>
    </row>
    <row r="39" spans="1:11" s="29" customFormat="1" ht="25.05" customHeight="1" x14ac:dyDescent="0.3">
      <c r="A39" s="31" t="s">
        <v>45</v>
      </c>
      <c r="B39" s="32">
        <f>IF(SUM(B36:B38)&gt;B3,B3-SUM(B36:B38),0)</f>
        <v>0</v>
      </c>
      <c r="C39" s="32">
        <f>IF(SUM(C36:C38)&gt;C3,C3-SUM(C36:C38),0)</f>
        <v>0</v>
      </c>
      <c r="D39" s="32">
        <f>IF(SUM(D36:D38)&gt;D3,D3-SUM(D36:D38),0)</f>
        <v>0</v>
      </c>
      <c r="E39" s="32">
        <f>IF(SUM(E36:E38)&gt;E3,E3-SUM(E36:E38),0)</f>
        <v>0</v>
      </c>
      <c r="F39" s="33">
        <f>SUM(B39:E39)</f>
        <v>0</v>
      </c>
      <c r="G39" s="31"/>
      <c r="J39" s="30"/>
    </row>
    <row r="40" spans="1:11" s="29" customFormat="1" ht="25.05" customHeight="1" x14ac:dyDescent="0.3">
      <c r="A40" s="34" t="s">
        <v>23</v>
      </c>
      <c r="B40" s="33">
        <f>SUM(B36:B39)</f>
        <v>276</v>
      </c>
      <c r="C40" s="33">
        <f t="shared" ref="C40:E40" si="4">SUM(C36:C39)</f>
        <v>414</v>
      </c>
      <c r="D40" s="33">
        <f t="shared" si="4"/>
        <v>48</v>
      </c>
      <c r="E40" s="33">
        <f t="shared" si="4"/>
        <v>345</v>
      </c>
      <c r="F40" s="33">
        <f>SUM(F36:F39)</f>
        <v>1083</v>
      </c>
      <c r="G40" s="31"/>
      <c r="J40" s="30"/>
    </row>
    <row r="41" spans="1:11" s="22" customFormat="1" ht="25.05" customHeight="1" x14ac:dyDescent="0.3">
      <c r="A41" s="31"/>
      <c r="B41" s="32"/>
      <c r="C41" s="32"/>
      <c r="D41" s="32"/>
      <c r="E41" s="32"/>
      <c r="F41" s="31"/>
      <c r="G41" s="31"/>
      <c r="J41" s="23"/>
    </row>
    <row r="42" spans="1:11" s="22" customFormat="1" ht="25.05" customHeight="1" x14ac:dyDescent="0.3">
      <c r="A42" s="34" t="s">
        <v>22</v>
      </c>
      <c r="B42" s="35">
        <f>B40*B$14</f>
        <v>7527.2727272727261</v>
      </c>
      <c r="C42" s="35">
        <f t="shared" ref="C42:E42" si="5">C40*C$14</f>
        <v>14690.322580645161</v>
      </c>
      <c r="D42" s="35">
        <f t="shared" si="5"/>
        <v>41600</v>
      </c>
      <c r="E42" s="35">
        <f t="shared" si="5"/>
        <v>21510.542168674696</v>
      </c>
      <c r="F42" s="36">
        <f>SUM(B42:E42)</f>
        <v>85328.137476592587</v>
      </c>
      <c r="G42" s="31"/>
      <c r="J42" s="23"/>
    </row>
    <row r="43" spans="1:11" s="22" customFormat="1" ht="25.05" customHeight="1" x14ac:dyDescent="0.3">
      <c r="A43" s="25"/>
      <c r="B43" s="26"/>
      <c r="C43" s="26"/>
      <c r="D43" s="26"/>
      <c r="E43" s="26"/>
      <c r="F43" s="27"/>
      <c r="J43" s="23"/>
    </row>
    <row r="44" spans="1:11" s="22" customFormat="1" ht="25.05" customHeight="1" x14ac:dyDescent="0.3">
      <c r="A44" s="25" t="s">
        <v>43</v>
      </c>
      <c r="B44" s="26">
        <f>B3-B40</f>
        <v>524</v>
      </c>
      <c r="C44" s="26">
        <f>C3-C40</f>
        <v>786</v>
      </c>
      <c r="D44" s="26">
        <f>D3-D40</f>
        <v>92</v>
      </c>
      <c r="E44" s="26">
        <f>E3-E40</f>
        <v>655</v>
      </c>
      <c r="F44" s="26"/>
      <c r="J44" s="23"/>
    </row>
    <row r="45" spans="1:11" s="22" customFormat="1" ht="25.05" customHeight="1" thickBot="1" x14ac:dyDescent="0.35">
      <c r="A45" s="25"/>
      <c r="B45" s="26"/>
      <c r="C45" s="26"/>
      <c r="D45" s="26"/>
      <c r="E45" s="26"/>
      <c r="F45" s="26"/>
      <c r="J45" s="23"/>
    </row>
    <row r="46" spans="1:11" s="22" customFormat="1" ht="19.95" customHeight="1" x14ac:dyDescent="0.3">
      <c r="A46" s="231" t="s">
        <v>76</v>
      </c>
      <c r="B46" s="232"/>
      <c r="C46" s="232"/>
      <c r="D46" s="232"/>
      <c r="E46" s="232"/>
      <c r="F46" s="233"/>
      <c r="J46" s="23"/>
    </row>
    <row r="47" spans="1:11" s="25" customFormat="1" ht="25.05" customHeight="1" x14ac:dyDescent="0.3">
      <c r="A47" s="39" t="s">
        <v>50</v>
      </c>
      <c r="B47" s="37">
        <f>_xlfn.XLOOKUP($A47&amp;$A$1,'Demais Rodadas de Venda'!$G:$G,'Demais Rodadas de Venda'!B:B)</f>
        <v>225</v>
      </c>
      <c r="C47" s="37">
        <f>_xlfn.XLOOKUP($A47&amp;$A$1,'Demais Rodadas de Venda'!$G:$G,'Demais Rodadas de Venda'!C:C)</f>
        <v>337</v>
      </c>
      <c r="D47" s="37">
        <f>_xlfn.XLOOKUP($A47&amp;$A$1,'Demais Rodadas de Venda'!$G:$G,'Demais Rodadas de Venda'!D:D)</f>
        <v>39</v>
      </c>
      <c r="E47" s="37">
        <f>_xlfn.XLOOKUP($A47&amp;$A$1,'Demais Rodadas de Venda'!$G:$G,'Demais Rodadas de Venda'!E:E)</f>
        <v>281</v>
      </c>
      <c r="F47" s="37">
        <f>SUM(B47:E47)</f>
        <v>882</v>
      </c>
      <c r="J47" s="24"/>
    </row>
    <row r="48" spans="1:11" s="22" customFormat="1" ht="25.05" customHeight="1" x14ac:dyDescent="0.3">
      <c r="A48" s="22" t="s">
        <v>33</v>
      </c>
      <c r="B48" s="23">
        <f>-ROUND(IF($J$16="Sim",0,B47/30*($J$4+_xlfn.XLOOKUP($I$16,'Dados de apoio'!$A:$A,'Dados de apoio'!$B:$B))),0)</f>
        <v>0</v>
      </c>
      <c r="C48" s="23">
        <f>-ROUND(IF($J$16="Sim",0,C47/30*($J$4+_xlfn.XLOOKUP($I$16,'Dados de apoio'!$A:$A,'Dados de apoio'!$B:$B))),0)</f>
        <v>0</v>
      </c>
      <c r="D48" s="23">
        <f>-ROUND(IF($J$16="Sim",0,D47/30*($J$4+_xlfn.XLOOKUP($I$16,'Dados de apoio'!$A:$A,'Dados de apoio'!$B:$B))),0)</f>
        <v>0</v>
      </c>
      <c r="E48" s="23">
        <f>-ROUND(IF($J$16="Sim",0,E47/30*($J$4+_xlfn.XLOOKUP($I$16,'Dados de apoio'!$A:$A,'Dados de apoio'!$B:$B))),0)</f>
        <v>0</v>
      </c>
      <c r="F48" s="24">
        <f t="shared" ref="F48:F51" si="6">SUM(B48:E48)</f>
        <v>0</v>
      </c>
      <c r="J48" s="23"/>
    </row>
    <row r="49" spans="1:10" s="22" customFormat="1" ht="25.05" customHeight="1" x14ac:dyDescent="0.3">
      <c r="A49" s="22" t="s">
        <v>34</v>
      </c>
      <c r="B49" s="23">
        <f>-ROUND(IF($J$17="Sim",0,B47/30*($J$4+_xlfn.XLOOKUP($I$17,'Dados de apoio'!$A:$A,'Dados de apoio'!$B:$B))),0)</f>
        <v>0</v>
      </c>
      <c r="C49" s="23">
        <f>-ROUND(IF($J$17="Sim",0,C47/30*($J$4+_xlfn.XLOOKUP($I$17,'Dados de apoio'!$A:$A,'Dados de apoio'!$B:$B))),0)</f>
        <v>0</v>
      </c>
      <c r="D49" s="23">
        <f>-ROUND(IF($J$17="Sim",0,D47/30*($J$4+_xlfn.XLOOKUP($I$17,'Dados de apoio'!$A:$A,'Dados de apoio'!$B:$B))),0)</f>
        <v>0</v>
      </c>
      <c r="E49" s="23">
        <f>-ROUND(IF($J$17="Sim",0,E47/30*($J$4+_xlfn.XLOOKUP($I$17,'Dados de apoio'!$A:$A,'Dados de apoio'!$B:$B))),0)</f>
        <v>0</v>
      </c>
      <c r="F49" s="24">
        <f t="shared" si="6"/>
        <v>0</v>
      </c>
      <c r="J49" s="23"/>
    </row>
    <row r="50" spans="1:10" s="22" customFormat="1" ht="25.05" customHeight="1" x14ac:dyDescent="0.3">
      <c r="A50" s="22" t="s">
        <v>45</v>
      </c>
      <c r="B50" s="23">
        <f>IF(SUM(B47:B49)&gt;B24,B24-SUM(B47:B49),0)</f>
        <v>0</v>
      </c>
      <c r="C50" s="23">
        <f>IF(SUM(C47:C49)&gt;C24,C24-SUM(C47:C49),0)</f>
        <v>0</v>
      </c>
      <c r="D50" s="23">
        <f>IF(SUM(D47:D49)&gt;D24,D24-SUM(D47:D49),0)</f>
        <v>0</v>
      </c>
      <c r="E50" s="23">
        <f>IF(SUM(E47:E49)&gt;E24,E24-SUM(E47:E49),0)</f>
        <v>0</v>
      </c>
      <c r="F50" s="24">
        <f t="shared" si="6"/>
        <v>0</v>
      </c>
      <c r="J50" s="23"/>
    </row>
    <row r="51" spans="1:10" s="22" customFormat="1" ht="25.05" customHeight="1" x14ac:dyDescent="0.3">
      <c r="A51" s="25" t="s">
        <v>23</v>
      </c>
      <c r="B51" s="24">
        <f>SUM(B47:B50)</f>
        <v>225</v>
      </c>
      <c r="C51" s="24">
        <f t="shared" ref="C51:E51" si="7">SUM(C47:C50)</f>
        <v>337</v>
      </c>
      <c r="D51" s="24">
        <f t="shared" si="7"/>
        <v>39</v>
      </c>
      <c r="E51" s="24">
        <f t="shared" si="7"/>
        <v>281</v>
      </c>
      <c r="F51" s="24">
        <f t="shared" si="6"/>
        <v>882</v>
      </c>
      <c r="J51" s="23"/>
    </row>
    <row r="52" spans="1:10" s="22" customFormat="1" ht="25.05" customHeight="1" x14ac:dyDescent="0.3">
      <c r="B52" s="23"/>
      <c r="C52" s="23"/>
      <c r="D52" s="23"/>
      <c r="E52" s="23"/>
      <c r="J52" s="23"/>
    </row>
    <row r="53" spans="1:10" s="22" customFormat="1" ht="25.05" customHeight="1" x14ac:dyDescent="0.3">
      <c r="A53" s="25" t="s">
        <v>22</v>
      </c>
      <c r="B53" s="26">
        <f>B51*B$31</f>
        <v>6136.363636363636</v>
      </c>
      <c r="C53" s="26">
        <f>C51*C$31</f>
        <v>11958.064516129032</v>
      </c>
      <c r="D53" s="26">
        <f>D51*D$31</f>
        <v>28600</v>
      </c>
      <c r="E53" s="26">
        <f>E51*E$31</f>
        <v>16758.433734939761</v>
      </c>
      <c r="F53" s="27">
        <f>SUM(B53:E53)</f>
        <v>63452.861887432431</v>
      </c>
      <c r="J53" s="23"/>
    </row>
    <row r="54" spans="1:10" s="22" customFormat="1" ht="25.05" customHeight="1" thickBot="1" x14ac:dyDescent="0.35">
      <c r="A54" s="25"/>
      <c r="B54" s="26"/>
      <c r="C54" s="26"/>
      <c r="D54" s="26"/>
      <c r="E54" s="26"/>
      <c r="F54" s="27"/>
      <c r="J54" s="23"/>
    </row>
    <row r="55" spans="1:10" s="22" customFormat="1" ht="25.05" customHeight="1" x14ac:dyDescent="0.3">
      <c r="A55" s="231" t="s">
        <v>36</v>
      </c>
      <c r="B55" s="232"/>
      <c r="C55" s="232"/>
      <c r="D55" s="232"/>
      <c r="E55" s="232"/>
      <c r="F55" s="233"/>
      <c r="J55" s="23"/>
    </row>
    <row r="56" spans="1:10" s="22" customFormat="1" ht="25.05" customHeight="1" x14ac:dyDescent="0.3">
      <c r="A56" s="39" t="s">
        <v>36</v>
      </c>
      <c r="B56" s="45">
        <f>_xlfn.XLOOKUP($A56&amp;$A$1,'Demais Rodadas de Venda'!$G:$G,'Demais Rodadas de Venda'!B:B)</f>
        <v>0</v>
      </c>
      <c r="C56" s="45">
        <f>_xlfn.XLOOKUP($A56&amp;$A$1,'Demais Rodadas de Venda'!$G:$G,'Demais Rodadas de Venda'!C:C)</f>
        <v>0</v>
      </c>
      <c r="D56" s="45">
        <f>_xlfn.XLOOKUP($A56&amp;$A$1,'Demais Rodadas de Venda'!$G:$G,'Demais Rodadas de Venda'!D:D)</f>
        <v>0</v>
      </c>
      <c r="E56" s="45">
        <f>_xlfn.XLOOKUP($A56&amp;$A$1,'Demais Rodadas de Venda'!$G:$G,'Demais Rodadas de Venda'!E:E)</f>
        <v>0</v>
      </c>
      <c r="F56" s="41">
        <f>SUM(B56:E56)</f>
        <v>0</v>
      </c>
      <c r="J56" s="23"/>
    </row>
    <row r="57" spans="1:10" s="22" customFormat="1" ht="25.05" customHeight="1" x14ac:dyDescent="0.3">
      <c r="A57" s="22" t="s">
        <v>45</v>
      </c>
      <c r="B57" s="23">
        <f>IF(B56&gt;0,IF(B56&gt;(B24-B51),(B24-B51)-B56,0),0)</f>
        <v>0</v>
      </c>
      <c r="C57" s="23">
        <f>IF(C56&gt;0,IF(C56&gt;(C24-C51),(C24-C51)-C56,0),0)</f>
        <v>0</v>
      </c>
      <c r="D57" s="23">
        <f>IF(D56&gt;0,IF(D56&gt;(D24-D51),(D24-D51)-D56,0),0)</f>
        <v>0</v>
      </c>
      <c r="E57" s="23">
        <f>IF(E56&gt;0,IF(E56&gt;(E24-E51),(E24-E51)-E56,0),0)</f>
        <v>0</v>
      </c>
      <c r="F57" s="27">
        <f>SUM(B57:E57)</f>
        <v>0</v>
      </c>
      <c r="J57" s="23"/>
    </row>
    <row r="58" spans="1:10" s="22" customFormat="1" ht="25.05" customHeight="1" x14ac:dyDescent="0.3">
      <c r="A58" s="25" t="s">
        <v>46</v>
      </c>
      <c r="B58" s="23">
        <f>SUM(B56:B57)</f>
        <v>0</v>
      </c>
      <c r="C58" s="23">
        <f t="shared" ref="C58:E58" si="8">SUM(C56:C57)</f>
        <v>0</v>
      </c>
      <c r="D58" s="23">
        <f t="shared" si="8"/>
        <v>0</v>
      </c>
      <c r="E58" s="23">
        <f t="shared" si="8"/>
        <v>0</v>
      </c>
      <c r="F58" s="27">
        <f>SUM(B58:E58)</f>
        <v>0</v>
      </c>
      <c r="J58" s="23"/>
    </row>
    <row r="59" spans="1:10" s="22" customFormat="1" ht="25.05" customHeight="1" x14ac:dyDescent="0.3">
      <c r="A59" s="25" t="s">
        <v>10</v>
      </c>
      <c r="B59" s="28">
        <f>_xlfn.XLOOKUP("Preço Atacado"&amp;$A$1,'Demais Rodadas de Venda'!$G:$G,'Demais Rodadas de Venda'!B:B)</f>
        <v>40</v>
      </c>
      <c r="C59" s="28">
        <f>_xlfn.XLOOKUP("Preço Atacado"&amp;$A$1,'Demais Rodadas de Venda'!$G:$G,'Demais Rodadas de Venda'!C:C)</f>
        <v>40</v>
      </c>
      <c r="D59" s="28">
        <f>_xlfn.XLOOKUP("Preço Atacado"&amp;$A$1,'Demais Rodadas de Venda'!$G:$G,'Demais Rodadas de Venda'!D:D)</f>
        <v>40</v>
      </c>
      <c r="E59" s="28">
        <f>_xlfn.XLOOKUP("Preço Atacado"&amp;$A$1,'Demais Rodadas de Venda'!$G:$G,'Demais Rodadas de Venda'!E:E)</f>
        <v>40</v>
      </c>
      <c r="F59" s="27">
        <f t="shared" ref="F59:F60" si="9">SUM(B59:E59)</f>
        <v>160</v>
      </c>
      <c r="J59" s="23"/>
    </row>
    <row r="60" spans="1:10" s="22" customFormat="1" ht="25.05" customHeight="1" x14ac:dyDescent="0.3">
      <c r="A60" s="25" t="s">
        <v>40</v>
      </c>
      <c r="B60" s="26">
        <f>B58*B59</f>
        <v>0</v>
      </c>
      <c r="C60" s="26">
        <f t="shared" ref="C60:E60" si="10">C58*C59</f>
        <v>0</v>
      </c>
      <c r="D60" s="26">
        <f t="shared" si="10"/>
        <v>0</v>
      </c>
      <c r="E60" s="26">
        <f t="shared" si="10"/>
        <v>0</v>
      </c>
      <c r="F60" s="27">
        <f t="shared" si="9"/>
        <v>0</v>
      </c>
      <c r="J60" s="23"/>
    </row>
    <row r="61" spans="1:10" s="22" customFormat="1" ht="25.05" customHeight="1" x14ac:dyDescent="0.3">
      <c r="A61" s="25"/>
      <c r="B61" s="28"/>
      <c r="C61" s="28"/>
      <c r="D61" s="28"/>
      <c r="E61" s="28"/>
      <c r="F61" s="27"/>
      <c r="J61" s="23"/>
    </row>
    <row r="62" spans="1:10" s="22" customFormat="1" ht="25.05" customHeight="1" x14ac:dyDescent="0.3">
      <c r="A62" s="25" t="s">
        <v>38</v>
      </c>
      <c r="B62" s="26">
        <f>B53+B60</f>
        <v>6136.363636363636</v>
      </c>
      <c r="C62" s="26">
        <f t="shared" ref="C62:E62" si="11">C53+C60</f>
        <v>11958.064516129032</v>
      </c>
      <c r="D62" s="26">
        <f t="shared" si="11"/>
        <v>28600</v>
      </c>
      <c r="E62" s="26">
        <f t="shared" si="11"/>
        <v>16758.433734939761</v>
      </c>
      <c r="F62" s="26">
        <f>SUM(B62:E62)</f>
        <v>63452.861887432431</v>
      </c>
      <c r="J62" s="23"/>
    </row>
    <row r="63" spans="1:10" s="22" customFormat="1" ht="14.4" customHeight="1" x14ac:dyDescent="0.3">
      <c r="A63" s="25"/>
      <c r="B63" s="26"/>
      <c r="C63" s="26"/>
      <c r="D63" s="26"/>
      <c r="E63" s="26"/>
      <c r="F63" s="26"/>
      <c r="J63" s="23"/>
    </row>
    <row r="64" spans="1:10" s="22" customFormat="1" ht="25.05" customHeight="1" x14ac:dyDescent="0.3">
      <c r="A64" s="25" t="s">
        <v>43</v>
      </c>
      <c r="B64" s="26">
        <f>B24-B51-B58</f>
        <v>899</v>
      </c>
      <c r="C64" s="26">
        <f>C24-C51-C58</f>
        <v>1449</v>
      </c>
      <c r="D64" s="26">
        <f>D24-D51-D58</f>
        <v>173</v>
      </c>
      <c r="E64" s="26">
        <f>E24-E51-E58</f>
        <v>1174</v>
      </c>
      <c r="F64" s="26"/>
      <c r="J64" s="23"/>
    </row>
    <row r="65" spans="1:10" s="22" customFormat="1" ht="10.199999999999999" customHeight="1" thickBot="1" x14ac:dyDescent="0.35">
      <c r="B65" s="23"/>
      <c r="C65" s="23"/>
      <c r="D65" s="23"/>
      <c r="E65" s="23"/>
      <c r="J65" s="23"/>
    </row>
    <row r="66" spans="1:10" s="22" customFormat="1" ht="19.95" customHeight="1" x14ac:dyDescent="0.3">
      <c r="A66" s="231" t="s">
        <v>77</v>
      </c>
      <c r="B66" s="232"/>
      <c r="C66" s="232"/>
      <c r="D66" s="232"/>
      <c r="E66" s="232"/>
      <c r="F66" s="233"/>
      <c r="J66" s="23"/>
    </row>
    <row r="67" spans="1:10" s="25" customFormat="1" ht="25.05" customHeight="1" x14ac:dyDescent="0.3">
      <c r="A67" s="39" t="s">
        <v>51</v>
      </c>
      <c r="B67" s="37">
        <f>_xlfn.XLOOKUP($A67&amp;$A$1,'Demais Rodadas de Venda'!$G:$G,'Demais Rodadas de Venda'!B:B)</f>
        <v>337</v>
      </c>
      <c r="C67" s="37">
        <f>_xlfn.XLOOKUP($A67&amp;$A$1,'Demais Rodadas de Venda'!$G:$G,'Demais Rodadas de Venda'!C:C)</f>
        <v>506</v>
      </c>
      <c r="D67" s="37">
        <f>_xlfn.XLOOKUP($A67&amp;$A$1,'Demais Rodadas de Venda'!$G:$G,'Demais Rodadas de Venda'!D:D)</f>
        <v>59</v>
      </c>
      <c r="E67" s="37">
        <f>_xlfn.XLOOKUP($A67&amp;$A$1,'Demais Rodadas de Venda'!$G:$G,'Demais Rodadas de Venda'!E:E)</f>
        <v>422</v>
      </c>
      <c r="F67" s="37">
        <f>SUM(B67:E67)</f>
        <v>1324</v>
      </c>
      <c r="J67" s="24"/>
    </row>
    <row r="68" spans="1:10" s="22" customFormat="1" ht="25.05" customHeight="1" x14ac:dyDescent="0.3">
      <c r="A68" s="22" t="s">
        <v>35</v>
      </c>
      <c r="B68" s="23">
        <f>-ROUND(IF($J$18="Sim",0,B67/30*($J$4+_xlfn.XLOOKUP($I$18,'Dados de apoio'!$A:$A,'Dados de apoio'!$B:$B))),0)</f>
        <v>0</v>
      </c>
      <c r="C68" s="23">
        <f>-ROUND(IF($J$18="Sim",0,C67/30*($J$4+_xlfn.XLOOKUP($I$18,'Dados de apoio'!$A:$A,'Dados de apoio'!$B:$B))),0)</f>
        <v>0</v>
      </c>
      <c r="D68" s="23">
        <f>-ROUND(IF($J$18="Sim",0,D67/30*($J$4+_xlfn.XLOOKUP($I$18,'Dados de apoio'!$A:$A,'Dados de apoio'!$B:$B))),0)</f>
        <v>0</v>
      </c>
      <c r="E68" s="23">
        <f>-ROUND(IF($J$18="Sim",0,E67/30*($J$4+_xlfn.XLOOKUP($I$18,'Dados de apoio'!$A:$A,'Dados de apoio'!$B:$B))),0)</f>
        <v>0</v>
      </c>
      <c r="F68" s="24">
        <f>SUM(B68:E68)</f>
        <v>0</v>
      </c>
      <c r="J68" s="23"/>
    </row>
    <row r="69" spans="1:10" s="22" customFormat="1" ht="25.05" customHeight="1" x14ac:dyDescent="0.3">
      <c r="A69" s="22" t="s">
        <v>45</v>
      </c>
      <c r="B69" s="23">
        <f>IF(SUM(B67:B68)&gt;B64,B64-SUM(B67:B68),0)</f>
        <v>0</v>
      </c>
      <c r="C69" s="23">
        <f t="shared" ref="C69:E69" si="12">IF(SUM(C67:C68)&gt;C64,C64-SUM(C67:C68),0)</f>
        <v>0</v>
      </c>
      <c r="D69" s="23">
        <f t="shared" si="12"/>
        <v>0</v>
      </c>
      <c r="E69" s="23">
        <f t="shared" si="12"/>
        <v>0</v>
      </c>
      <c r="F69" s="24">
        <f>SUM(B69:E69)</f>
        <v>0</v>
      </c>
      <c r="J69" s="23"/>
    </row>
    <row r="70" spans="1:10" s="22" customFormat="1" ht="25.05" customHeight="1" x14ac:dyDescent="0.3">
      <c r="A70" s="25" t="s">
        <v>23</v>
      </c>
      <c r="B70" s="24">
        <f>SUM(B67:B69)</f>
        <v>337</v>
      </c>
      <c r="C70" s="24">
        <f t="shared" ref="C70:E70" si="13">SUM(C67:C69)</f>
        <v>506</v>
      </c>
      <c r="D70" s="24">
        <f t="shared" si="13"/>
        <v>59</v>
      </c>
      <c r="E70" s="24">
        <f t="shared" si="13"/>
        <v>422</v>
      </c>
      <c r="F70" s="24">
        <f>SUM(B70:E70)</f>
        <v>1324</v>
      </c>
      <c r="J70" s="23"/>
    </row>
    <row r="71" spans="1:10" s="22" customFormat="1" ht="25.05" customHeight="1" x14ac:dyDescent="0.3">
      <c r="B71" s="23"/>
      <c r="C71" s="23"/>
      <c r="D71" s="23"/>
      <c r="E71" s="23"/>
      <c r="J71" s="23"/>
    </row>
    <row r="72" spans="1:10" s="22" customFormat="1" ht="25.05" customHeight="1" x14ac:dyDescent="0.3">
      <c r="A72" s="25" t="s">
        <v>22</v>
      </c>
      <c r="B72" s="26">
        <f>B70*B$31</f>
        <v>9190.9090909090901</v>
      </c>
      <c r="C72" s="26">
        <f>C70*C$31</f>
        <v>17954.83870967742</v>
      </c>
      <c r="D72" s="26">
        <f>D70*D$31</f>
        <v>43266.666666666672</v>
      </c>
      <c r="E72" s="26">
        <f>E70*E$31</f>
        <v>25167.469879518074</v>
      </c>
      <c r="F72" s="27">
        <f>SUM(B72:E72)</f>
        <v>95579.884346771258</v>
      </c>
      <c r="J72" s="23"/>
    </row>
    <row r="73" spans="1:10" s="22" customFormat="1" ht="25.05" customHeight="1" x14ac:dyDescent="0.3">
      <c r="B73" s="23"/>
      <c r="C73" s="23"/>
      <c r="D73" s="23"/>
      <c r="E73" s="23"/>
      <c r="J73" s="23"/>
    </row>
    <row r="74" spans="1:10" s="22" customFormat="1" ht="25.05" customHeight="1" x14ac:dyDescent="0.3">
      <c r="A74" s="25" t="s">
        <v>44</v>
      </c>
      <c r="B74" s="26">
        <f>B64-B70</f>
        <v>562</v>
      </c>
      <c r="C74" s="26">
        <f t="shared" ref="C74:E74" si="14">C64-C70</f>
        <v>943</v>
      </c>
      <c r="D74" s="26">
        <f t="shared" si="14"/>
        <v>114</v>
      </c>
      <c r="E74" s="26">
        <f t="shared" si="14"/>
        <v>752</v>
      </c>
      <c r="F74" s="27">
        <f>SUM(B74:E74)</f>
        <v>2371</v>
      </c>
      <c r="J74" s="23"/>
    </row>
    <row r="75" spans="1:10" s="22" customFormat="1" ht="25.05" customHeight="1" x14ac:dyDescent="0.3">
      <c r="A75" s="25" t="s">
        <v>134</v>
      </c>
      <c r="B75" s="26">
        <f>B74*B4</f>
        <v>11240</v>
      </c>
      <c r="C75" s="26">
        <f t="shared" ref="C75:E75" si="15">C74*C4</f>
        <v>28290</v>
      </c>
      <c r="D75" s="26">
        <f t="shared" si="15"/>
        <v>57000</v>
      </c>
      <c r="E75" s="26">
        <f t="shared" si="15"/>
        <v>33840</v>
      </c>
      <c r="F75" s="27">
        <f>SUM(B75:E75)</f>
        <v>130370</v>
      </c>
      <c r="J75" s="23"/>
    </row>
    <row r="76" spans="1:10" s="22" customFormat="1" ht="25.05" customHeight="1" thickBot="1" x14ac:dyDescent="0.35">
      <c r="A76" s="25"/>
      <c r="B76" s="26"/>
      <c r="C76" s="26"/>
      <c r="D76" s="26"/>
      <c r="E76" s="26"/>
      <c r="J76" s="23"/>
    </row>
    <row r="77" spans="1:10" s="22" customFormat="1" ht="25.05" customHeight="1" x14ac:dyDescent="0.3">
      <c r="A77" s="231" t="s">
        <v>62</v>
      </c>
      <c r="B77" s="232"/>
      <c r="C77" s="232"/>
      <c r="D77" s="232"/>
      <c r="E77" s="232"/>
      <c r="F77" s="233"/>
      <c r="J77" s="23"/>
    </row>
    <row r="78" spans="1:10" s="22" customFormat="1" ht="9.6" customHeight="1" x14ac:dyDescent="0.3">
      <c r="B78" s="23"/>
      <c r="C78" s="23"/>
      <c r="D78" s="23"/>
      <c r="E78" s="23"/>
      <c r="J78" s="23"/>
    </row>
    <row r="79" spans="1:10" s="22" customFormat="1" ht="25.05" customHeight="1" x14ac:dyDescent="0.3">
      <c r="A79" s="25" t="s">
        <v>41</v>
      </c>
      <c r="B79" s="24">
        <f>B40+B51+B58+B70</f>
        <v>838</v>
      </c>
      <c r="C79" s="24">
        <f>C40+C51+C58+C70</f>
        <v>1257</v>
      </c>
      <c r="D79" s="24">
        <f>D40+D51+D58+D70</f>
        <v>146</v>
      </c>
      <c r="E79" s="24">
        <f>E40+E51+E58+E70</f>
        <v>1048</v>
      </c>
      <c r="F79" s="27">
        <f>SUM(B79:E79)</f>
        <v>3289</v>
      </c>
      <c r="J79" s="23"/>
    </row>
    <row r="80" spans="1:10" s="22" customFormat="1" ht="31.8" customHeight="1" x14ac:dyDescent="0.3">
      <c r="A80" s="22" t="s">
        <v>106</v>
      </c>
      <c r="B80" s="23">
        <f>(B36-B40)+(B47-B51)+B57+(B67-B70)</f>
        <v>0</v>
      </c>
      <c r="C80" s="23">
        <f>(C36-C40)+(C47-C51)+C57+(C67-C70)</f>
        <v>0</v>
      </c>
      <c r="D80" s="23">
        <f>(D36-D40)+(D47-D51)+D57+(D67-D70)</f>
        <v>0</v>
      </c>
      <c r="E80" s="23">
        <f>(E36-E40)+(E47-E51)+E57+(E67-E70)</f>
        <v>0</v>
      </c>
      <c r="F80" s="98">
        <f>SUM(B80:E80)</f>
        <v>0</v>
      </c>
      <c r="J80" s="23"/>
    </row>
    <row r="81" spans="1:10" s="22" customFormat="1" ht="25.05" customHeight="1" x14ac:dyDescent="0.3">
      <c r="A81" s="39" t="s">
        <v>39</v>
      </c>
      <c r="B81" s="40">
        <f>B42+B62+B72</f>
        <v>22854.545454545452</v>
      </c>
      <c r="C81" s="40">
        <f>C42+C62+C72</f>
        <v>44603.225806451614</v>
      </c>
      <c r="D81" s="40">
        <f>D42+D62+D72</f>
        <v>113466.66666666667</v>
      </c>
      <c r="E81" s="40">
        <f>E42+E62+E72</f>
        <v>63436.445783132527</v>
      </c>
      <c r="F81" s="41">
        <f>SUM(B81:E81)</f>
        <v>244360.88371079625</v>
      </c>
      <c r="J81" s="23"/>
    </row>
    <row r="82" spans="1:10" s="22" customFormat="1" ht="25.05" customHeight="1" x14ac:dyDescent="0.3">
      <c r="A82" s="25"/>
      <c r="B82" s="24"/>
      <c r="C82" s="24"/>
      <c r="D82" s="24"/>
      <c r="E82" s="24"/>
      <c r="F82" s="25"/>
      <c r="J82" s="23"/>
    </row>
    <row r="83" spans="1:10" s="22" customFormat="1" ht="25.05" customHeight="1" x14ac:dyDescent="0.3">
      <c r="A83" s="25" t="s">
        <v>42</v>
      </c>
      <c r="B83" s="26">
        <f>B79*B4</f>
        <v>16760</v>
      </c>
      <c r="C83" s="26">
        <f>C79*C4</f>
        <v>37710</v>
      </c>
      <c r="D83" s="26">
        <f>D79*D4</f>
        <v>73000</v>
      </c>
      <c r="E83" s="26">
        <f>E79*E4</f>
        <v>47160</v>
      </c>
      <c r="F83" s="27">
        <f>SUM(B83:E83)</f>
        <v>174630</v>
      </c>
      <c r="J83" s="23"/>
    </row>
    <row r="84" spans="1:10" s="22" customFormat="1" ht="25.05" customHeight="1" x14ac:dyDescent="0.3">
      <c r="A84" s="25"/>
      <c r="B84" s="24"/>
      <c r="C84" s="24"/>
      <c r="D84" s="24"/>
      <c r="E84" s="24"/>
      <c r="F84" s="25"/>
      <c r="J84" s="23"/>
    </row>
    <row r="85" spans="1:10" s="22" customFormat="1" ht="25.05" customHeight="1" x14ac:dyDescent="0.3">
      <c r="A85" s="25" t="s">
        <v>11</v>
      </c>
      <c r="B85" s="26">
        <f>B81*B12</f>
        <v>2742.545454545454</v>
      </c>
      <c r="C85" s="26">
        <f>C81*C12</f>
        <v>3122.2258064516132</v>
      </c>
      <c r="D85" s="26">
        <f>D81*D12</f>
        <v>28366.666666666668</v>
      </c>
      <c r="E85" s="26">
        <f>E81*E12</f>
        <v>10784.195783132531</v>
      </c>
      <c r="F85" s="27">
        <f>SUM(B85:E85)</f>
        <v>45015.633710796261</v>
      </c>
      <c r="I85" s="98"/>
      <c r="J85" s="23"/>
    </row>
    <row r="86" spans="1:10" s="22" customFormat="1" ht="13.8" customHeight="1" x14ac:dyDescent="0.3">
      <c r="A86" s="25"/>
      <c r="B86" s="26"/>
      <c r="C86" s="26"/>
      <c r="D86" s="26"/>
      <c r="E86" s="26"/>
      <c r="F86" s="27"/>
      <c r="J86" s="23"/>
    </row>
    <row r="87" spans="1:10" s="22" customFormat="1" ht="25.05" customHeight="1" x14ac:dyDescent="0.3">
      <c r="A87" s="25" t="s">
        <v>84</v>
      </c>
      <c r="B87" s="26">
        <f>B75*'Dados de apoio'!H6</f>
        <v>224.8</v>
      </c>
      <c r="C87" s="26">
        <f>C75*'Dados de apoio'!I6</f>
        <v>424.34999999999997</v>
      </c>
      <c r="D87" s="26">
        <f>D75*'Dados de apoio'!J6</f>
        <v>0</v>
      </c>
      <c r="E87" s="26">
        <f>E75*'Dados de apoio'!K6</f>
        <v>338.40000000000003</v>
      </c>
      <c r="F87" s="27">
        <f>SUM(B87:E87)</f>
        <v>987.55</v>
      </c>
      <c r="J87" s="23"/>
    </row>
    <row r="88" spans="1:10" s="22" customFormat="1" ht="25.05" customHeight="1" x14ac:dyDescent="0.3">
      <c r="A88" s="25"/>
      <c r="B88" s="26"/>
      <c r="C88" s="26"/>
      <c r="D88" s="26"/>
      <c r="E88" s="26"/>
      <c r="F88" s="27"/>
      <c r="J88" s="23"/>
    </row>
    <row r="89" spans="1:10" s="22" customFormat="1" ht="25.05" customHeight="1" x14ac:dyDescent="0.3">
      <c r="A89" s="25" t="s">
        <v>135</v>
      </c>
      <c r="B89" s="26">
        <f>B75*'Dados de apoio'!H7</f>
        <v>655.66666666666663</v>
      </c>
      <c r="C89" s="26">
        <f>C75*'Dados de apoio'!I7</f>
        <v>235.75</v>
      </c>
      <c r="D89" s="26">
        <f>D75*'Dados de apoio'!J7</f>
        <v>760</v>
      </c>
      <c r="E89" s="26">
        <f>E75*'Dados de apoio'!K7</f>
        <v>366.6</v>
      </c>
      <c r="F89" s="27">
        <f>SUM(B89:E89)</f>
        <v>2018.0166666666664</v>
      </c>
      <c r="J89" s="23"/>
    </row>
    <row r="90" spans="1:10" s="22" customFormat="1" ht="12.6" customHeight="1" x14ac:dyDescent="0.3">
      <c r="B90" s="23"/>
      <c r="C90" s="23"/>
      <c r="D90" s="23"/>
      <c r="E90" s="23"/>
      <c r="J90" s="23"/>
    </row>
    <row r="91" spans="1:10" s="22" customFormat="1" ht="25.05" customHeight="1" x14ac:dyDescent="0.3">
      <c r="A91" s="42" t="s">
        <v>63</v>
      </c>
      <c r="B91" s="43">
        <f>IFERROR((B81-B83-B85)/(B81-B85),0)</f>
        <v>0.16666666666666657</v>
      </c>
      <c r="C91" s="43">
        <f>IFERROR((C81-C83-C85)/(C81-C85),0)</f>
        <v>9.0909090909090925E-2</v>
      </c>
      <c r="D91" s="43">
        <f>IFERROR((D81-D83-D85)/(D81-D85),0)</f>
        <v>0.1421856639247944</v>
      </c>
      <c r="E91" s="43">
        <f>IFERROR((E81-E83-E85)/(E81-E85),0)</f>
        <v>0.10431178154779704</v>
      </c>
      <c r="F91" s="44">
        <f>IFERROR((F81-F83-F85)/(F81-F85),0)</f>
        <v>0.12398213651943041</v>
      </c>
      <c r="J91" s="23"/>
    </row>
  </sheetData>
  <mergeCells count="6">
    <mergeCell ref="A77:F77"/>
    <mergeCell ref="A66:F66"/>
    <mergeCell ref="A19:F19"/>
    <mergeCell ref="A35:F35"/>
    <mergeCell ref="A46:F46"/>
    <mergeCell ref="A55:F55"/>
  </mergeCells>
  <dataValidations count="1">
    <dataValidation type="list" allowBlank="1" showInputMessage="1" showErrorMessage="1" sqref="J14:J19 K16:K19" xr:uid="{AED6320D-30A8-4A6B-B338-A51617FAC9C8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341C-B2F8-4647-A2F8-6D37CBBFFEB7}">
  <dimension ref="A1:N91"/>
  <sheetViews>
    <sheetView showGridLines="0" zoomScale="120" zoomScaleNormal="120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4.33203125" style="4" bestFit="1" customWidth="1"/>
    <col min="2" max="2" width="11" style="5" bestFit="1" customWidth="1"/>
    <col min="3" max="5" width="11.88671875" style="5" bestFit="1" customWidth="1"/>
    <col min="6" max="6" width="11.88671875" style="4" bestFit="1" customWidth="1"/>
    <col min="7" max="7" width="4.6640625" style="4" customWidth="1"/>
    <col min="8" max="8" width="4.109375" style="4" customWidth="1"/>
    <col min="9" max="9" width="34.5546875" style="4" bestFit="1" customWidth="1"/>
    <col min="10" max="10" width="11.5546875" style="5" bestFit="1" customWidth="1"/>
    <col min="11" max="12" width="11.6640625" style="4" bestFit="1" customWidth="1"/>
    <col min="13" max="13" width="8" style="4" bestFit="1" customWidth="1"/>
    <col min="14" max="14" width="12.88671875" style="4" bestFit="1" customWidth="1"/>
    <col min="15" max="16384" width="8.88671875" style="4"/>
  </cols>
  <sheetData>
    <row r="1" spans="1:14" ht="19.8" customHeight="1" thickBot="1" x14ac:dyDescent="0.35">
      <c r="A1" s="14" t="s">
        <v>107</v>
      </c>
      <c r="B1" s="15" t="s">
        <v>3</v>
      </c>
      <c r="C1" s="16" t="s">
        <v>4</v>
      </c>
      <c r="D1" s="16" t="s">
        <v>5</v>
      </c>
      <c r="E1" s="16" t="s">
        <v>6</v>
      </c>
      <c r="F1" s="16" t="s">
        <v>20</v>
      </c>
      <c r="I1" s="2" t="s">
        <v>85</v>
      </c>
      <c r="J1" s="48">
        <v>5</v>
      </c>
      <c r="M1" s="85" t="s">
        <v>94</v>
      </c>
      <c r="N1" s="84">
        <f>'Dados de apoio'!B21</f>
        <v>700000</v>
      </c>
    </row>
    <row r="2" spans="1:14" x14ac:dyDescent="0.3">
      <c r="I2" s="2" t="s">
        <v>90</v>
      </c>
      <c r="J2" s="48">
        <v>3</v>
      </c>
      <c r="M2" s="13" t="s">
        <v>43</v>
      </c>
      <c r="N2" s="9">
        <f>-(F5+F23)</f>
        <v>-258185</v>
      </c>
    </row>
    <row r="3" spans="1:14" x14ac:dyDescent="0.3">
      <c r="A3" s="2" t="s">
        <v>7</v>
      </c>
      <c r="B3" s="1">
        <v>1055</v>
      </c>
      <c r="C3" s="1">
        <v>1575</v>
      </c>
      <c r="D3" s="1">
        <v>50</v>
      </c>
      <c r="E3" s="1">
        <v>1240</v>
      </c>
      <c r="F3" s="4">
        <f>SUM(B3:E3)</f>
        <v>3920</v>
      </c>
      <c r="I3" s="2" t="s">
        <v>92</v>
      </c>
      <c r="J3" s="82">
        <v>0.6</v>
      </c>
      <c r="M3" s="13" t="s">
        <v>96</v>
      </c>
      <c r="N3" s="9">
        <f>-L20</f>
        <v>-350000</v>
      </c>
    </row>
    <row r="4" spans="1:14" ht="15.6" x14ac:dyDescent="0.3">
      <c r="A4" s="2" t="s">
        <v>8</v>
      </c>
      <c r="B4" s="6">
        <f>'Dados de apoio'!H3</f>
        <v>20</v>
      </c>
      <c r="C4" s="6">
        <f>'Dados de apoio'!I3</f>
        <v>30</v>
      </c>
      <c r="D4" s="6">
        <f>'Dados de apoio'!J3</f>
        <v>500</v>
      </c>
      <c r="E4" s="6">
        <f>'Dados de apoio'!K3</f>
        <v>45</v>
      </c>
      <c r="I4" s="13" t="s">
        <v>24</v>
      </c>
      <c r="J4" s="3">
        <f>IF(J2="",6,IFERROR(_xlfn.XLOOKUP(J2,'Dados de apoio'!O:O,'Dados de apoio'!P:P),5))</f>
        <v>3</v>
      </c>
      <c r="M4" s="85" t="s">
        <v>97</v>
      </c>
      <c r="N4" s="84">
        <f>SUM(N1:N3)</f>
        <v>91815</v>
      </c>
    </row>
    <row r="5" spans="1:14" x14ac:dyDescent="0.3">
      <c r="A5" s="2" t="s">
        <v>9</v>
      </c>
      <c r="B5" s="17">
        <f>B3*B4</f>
        <v>21100</v>
      </c>
      <c r="C5" s="17">
        <f>C3*C4</f>
        <v>47250</v>
      </c>
      <c r="D5" s="17">
        <f>D3*D4</f>
        <v>25000</v>
      </c>
      <c r="E5" s="17">
        <f>E3*E4</f>
        <v>55800</v>
      </c>
      <c r="F5" s="7">
        <f>SUM(B5:E5)</f>
        <v>149150</v>
      </c>
      <c r="I5" s="13" t="s">
        <v>61</v>
      </c>
      <c r="J5" s="80">
        <f>J3*(J1/'Dados de apoio'!R4)</f>
        <v>0.3</v>
      </c>
      <c r="N5" s="3" t="str">
        <f>IF(N4&lt;0,"Revisar Caixa","Caixa OK")</f>
        <v>Caixa OK</v>
      </c>
    </row>
    <row r="6" spans="1:14" x14ac:dyDescent="0.3">
      <c r="A6" s="2"/>
      <c r="B6" s="17"/>
      <c r="C6" s="17"/>
      <c r="D6" s="17"/>
      <c r="E6" s="17"/>
      <c r="F6" s="7"/>
    </row>
    <row r="7" spans="1:14" x14ac:dyDescent="0.3">
      <c r="A7" s="2" t="s">
        <v>64</v>
      </c>
      <c r="B7" s="5">
        <f>'Dados de apoio'!H4</f>
        <v>4000</v>
      </c>
      <c r="C7" s="5">
        <f>'Dados de apoio'!I4</f>
        <v>6000</v>
      </c>
      <c r="D7" s="5">
        <f>'Dados de apoio'!J4</f>
        <v>700</v>
      </c>
      <c r="E7" s="5">
        <f>'Dados de apoio'!K4</f>
        <v>5000</v>
      </c>
      <c r="F7" s="7">
        <f>SUM(B7:E7)</f>
        <v>15700</v>
      </c>
    </row>
    <row r="8" spans="1:14" x14ac:dyDescent="0.3">
      <c r="A8" s="2" t="s">
        <v>15</v>
      </c>
      <c r="B8" s="11">
        <f>B3/B7</f>
        <v>0.26374999999999998</v>
      </c>
      <c r="C8" s="11">
        <f>C3/C7</f>
        <v>0.26250000000000001</v>
      </c>
      <c r="D8" s="11">
        <f>D3/D7</f>
        <v>7.1428571428571425E-2</v>
      </c>
      <c r="E8" s="11">
        <f>E3/E7</f>
        <v>0.248</v>
      </c>
      <c r="F8" s="229">
        <f>F3/F7</f>
        <v>0.24968152866242038</v>
      </c>
    </row>
    <row r="9" spans="1:14" x14ac:dyDescent="0.3">
      <c r="A9" s="18"/>
      <c r="B9" s="19"/>
      <c r="C9" s="19"/>
      <c r="D9" s="19"/>
      <c r="E9" s="19"/>
      <c r="F9" s="20"/>
      <c r="J9" s="3" t="s">
        <v>79</v>
      </c>
      <c r="K9" s="3" t="s">
        <v>80</v>
      </c>
    </row>
    <row r="10" spans="1:14" x14ac:dyDescent="0.3">
      <c r="A10" s="2"/>
      <c r="I10" s="13" t="s">
        <v>60</v>
      </c>
      <c r="J10" s="11">
        <f>F8</f>
        <v>0.24968152866242038</v>
      </c>
      <c r="K10" s="80">
        <f>F26</f>
        <v>0.43821656050955415</v>
      </c>
    </row>
    <row r="11" spans="1:14" x14ac:dyDescent="0.3">
      <c r="A11" s="2" t="s">
        <v>12</v>
      </c>
      <c r="B11" s="12">
        <v>0.05</v>
      </c>
      <c r="C11" s="12">
        <v>0.2</v>
      </c>
      <c r="D11" s="12">
        <v>0.25</v>
      </c>
      <c r="E11" s="12">
        <v>0.15</v>
      </c>
      <c r="I11" s="13" t="s">
        <v>88</v>
      </c>
      <c r="J11" s="10">
        <f>SUM(B14:E14)</f>
        <v>958.256044706686</v>
      </c>
      <c r="K11" s="10">
        <f>SUM(B31:E31)</f>
        <v>924.92271137335263</v>
      </c>
    </row>
    <row r="12" spans="1:14" x14ac:dyDescent="0.3">
      <c r="A12" s="2" t="s">
        <v>13</v>
      </c>
      <c r="B12" s="8">
        <f>'Dados de apoio'!H5</f>
        <v>0.12</v>
      </c>
      <c r="C12" s="8">
        <f>'Dados de apoio'!I5</f>
        <v>7.0000000000000007E-2</v>
      </c>
      <c r="D12" s="8">
        <f>'Dados de apoio'!J5</f>
        <v>0.25</v>
      </c>
      <c r="E12" s="8">
        <f>'Dados de apoio'!K5</f>
        <v>0.17</v>
      </c>
      <c r="G12" s="69"/>
    </row>
    <row r="13" spans="1:14" x14ac:dyDescent="0.3">
      <c r="A13" s="2"/>
      <c r="J13" s="3" t="s">
        <v>53</v>
      </c>
      <c r="K13" s="3" t="s">
        <v>53</v>
      </c>
      <c r="L13" s="3" t="s">
        <v>81</v>
      </c>
    </row>
    <row r="14" spans="1:14" x14ac:dyDescent="0.3">
      <c r="A14" s="2" t="s">
        <v>10</v>
      </c>
      <c r="B14" s="10">
        <f>(B4/(100%-B12))*(100%+B11)</f>
        <v>23.863636363636363</v>
      </c>
      <c r="C14" s="10">
        <f>(C4/(100%-C12))*(100%+C11)</f>
        <v>38.70967741935484</v>
      </c>
      <c r="D14" s="10">
        <f>(D4/(100%-D12))*(100%+D11)</f>
        <v>833.33333333333326</v>
      </c>
      <c r="E14" s="10">
        <f>(E4/(100%-E12))*(100%+E11)</f>
        <v>62.349397590361441</v>
      </c>
      <c r="G14" s="9"/>
      <c r="I14" s="2" t="s">
        <v>55</v>
      </c>
      <c r="J14" s="1" t="s">
        <v>172</v>
      </c>
      <c r="K14" s="3" t="str">
        <f>J14</f>
        <v>Sim</v>
      </c>
      <c r="L14" s="6">
        <f>IF(K14="Sim",_xlfn.XLOOKUP(I14,'Dados de apoio'!A:A,'Dados de apoio'!C:C),0)</f>
        <v>50000</v>
      </c>
    </row>
    <row r="15" spans="1:14" x14ac:dyDescent="0.3">
      <c r="A15" s="18"/>
      <c r="B15" s="21"/>
      <c r="C15" s="21"/>
      <c r="D15" s="21"/>
      <c r="E15" s="68"/>
      <c r="F15" s="20"/>
      <c r="G15" s="9"/>
      <c r="I15" s="2" t="s">
        <v>56</v>
      </c>
      <c r="J15" s="1" t="s">
        <v>173</v>
      </c>
      <c r="K15" s="3" t="s">
        <v>172</v>
      </c>
      <c r="L15" s="6">
        <f>IF(K15="Sim",_xlfn.XLOOKUP(I15,'Dados de apoio'!A:A,'Dados de apoio'!C:C),0)</f>
        <v>75000</v>
      </c>
    </row>
    <row r="16" spans="1:14" x14ac:dyDescent="0.3">
      <c r="I16" s="2" t="s">
        <v>57</v>
      </c>
      <c r="J16" s="1" t="s">
        <v>172</v>
      </c>
      <c r="K16" s="1" t="str">
        <f>J16</f>
        <v>Sim</v>
      </c>
      <c r="L16" s="6">
        <f>IF(K16="Sim",_xlfn.XLOOKUP(I16,'Dados de apoio'!A:A,'Dados de apoio'!C:C),0)</f>
        <v>80000</v>
      </c>
    </row>
    <row r="17" spans="1:12" x14ac:dyDescent="0.3">
      <c r="I17" s="2" t="s">
        <v>58</v>
      </c>
      <c r="J17" s="1" t="s">
        <v>172</v>
      </c>
      <c r="K17" s="1" t="str">
        <f t="shared" ref="K17:K19" si="0">J17</f>
        <v>Sim</v>
      </c>
      <c r="L17" s="6">
        <f>IF(K17="Sim",_xlfn.XLOOKUP(I17,'Dados de apoio'!A:A,'Dados de apoio'!C:C),0)</f>
        <v>65000</v>
      </c>
    </row>
    <row r="18" spans="1:12" ht="15" thickBot="1" x14ac:dyDescent="0.35">
      <c r="A18" s="81" t="s">
        <v>82</v>
      </c>
      <c r="I18" s="2" t="s">
        <v>152</v>
      </c>
      <c r="J18" s="1" t="s">
        <v>172</v>
      </c>
      <c r="K18" s="1" t="str">
        <f t="shared" si="0"/>
        <v>Sim</v>
      </c>
      <c r="L18" s="6">
        <f>IF(K18="Sim",_xlfn.XLOOKUP(I18,'Dados de apoio'!A:A,'Dados de apoio'!C:C),0)</f>
        <v>80000</v>
      </c>
    </row>
    <row r="19" spans="1:12" ht="15.6" x14ac:dyDescent="0.3">
      <c r="A19" s="231" t="s">
        <v>66</v>
      </c>
      <c r="B19" s="232"/>
      <c r="C19" s="232"/>
      <c r="D19" s="232"/>
      <c r="E19" s="232"/>
      <c r="F19" s="233"/>
      <c r="G19" s="9"/>
      <c r="H19" s="70"/>
      <c r="I19" s="2" t="s">
        <v>59</v>
      </c>
      <c r="J19" s="1"/>
      <c r="K19" s="1">
        <f t="shared" si="0"/>
        <v>0</v>
      </c>
      <c r="L19" s="6">
        <f>IF(K19="Sim",_xlfn.XLOOKUP(I19,'Dados de apoio'!A:A,'Dados de apoio'!C:C),0)</f>
        <v>0</v>
      </c>
    </row>
    <row r="20" spans="1:12" ht="15.6" x14ac:dyDescent="0.3">
      <c r="A20" s="4" t="s">
        <v>174</v>
      </c>
      <c r="B20" s="15" t="s">
        <v>3</v>
      </c>
      <c r="C20" s="16" t="s">
        <v>4</v>
      </c>
      <c r="D20" s="16" t="s">
        <v>5</v>
      </c>
      <c r="E20" s="16" t="s">
        <v>6</v>
      </c>
      <c r="F20" s="16" t="s">
        <v>20</v>
      </c>
      <c r="G20" s="9"/>
      <c r="H20" s="70"/>
      <c r="I20" s="2"/>
      <c r="J20" s="2" t="s">
        <v>54</v>
      </c>
      <c r="K20" s="2"/>
      <c r="L20" s="7">
        <f>SUM(L14:L19)</f>
        <v>350000</v>
      </c>
    </row>
    <row r="21" spans="1:12" x14ac:dyDescent="0.3">
      <c r="A21" s="2" t="s">
        <v>73</v>
      </c>
      <c r="B21" s="7">
        <f>B44</f>
        <v>637</v>
      </c>
      <c r="C21" s="7">
        <f t="shared" ref="C21:E21" si="1">C44</f>
        <v>852</v>
      </c>
      <c r="D21" s="7">
        <f t="shared" si="1"/>
        <v>0</v>
      </c>
      <c r="E21" s="7">
        <f t="shared" si="1"/>
        <v>637</v>
      </c>
      <c r="F21" s="7">
        <f t="shared" ref="F21:F22" si="2">SUM(B21:E21)</f>
        <v>2126</v>
      </c>
      <c r="G21" s="9"/>
      <c r="H21" s="70"/>
      <c r="J21" s="13"/>
      <c r="K21" s="7"/>
    </row>
    <row r="22" spans="1:12" x14ac:dyDescent="0.3">
      <c r="A22" s="2" t="s">
        <v>74</v>
      </c>
      <c r="B22" s="1">
        <v>163</v>
      </c>
      <c r="C22" s="1">
        <v>648</v>
      </c>
      <c r="D22" s="1">
        <v>140</v>
      </c>
      <c r="E22" s="1">
        <v>363</v>
      </c>
      <c r="F22" s="7">
        <f t="shared" si="2"/>
        <v>1314</v>
      </c>
      <c r="G22" s="9"/>
      <c r="H22" s="70"/>
    </row>
    <row r="23" spans="1:12" x14ac:dyDescent="0.3">
      <c r="A23" s="2" t="s">
        <v>98</v>
      </c>
      <c r="B23" s="10">
        <f>B22*B4</f>
        <v>3260</v>
      </c>
      <c r="C23" s="10">
        <f>C22*C4</f>
        <v>19440</v>
      </c>
      <c r="D23" s="10">
        <f>D22*D4</f>
        <v>70000</v>
      </c>
      <c r="E23" s="10">
        <f>E22*E4</f>
        <v>16335</v>
      </c>
      <c r="F23" s="7">
        <f>SUM(B23:E23)</f>
        <v>109035</v>
      </c>
      <c r="G23" s="9"/>
      <c r="H23" s="70"/>
    </row>
    <row r="24" spans="1:12" x14ac:dyDescent="0.3">
      <c r="A24" s="2" t="s">
        <v>75</v>
      </c>
      <c r="B24" s="17">
        <f>B21+B22</f>
        <v>800</v>
      </c>
      <c r="C24" s="17">
        <f>C21+C22</f>
        <v>1500</v>
      </c>
      <c r="D24" s="17">
        <f>D21+D22</f>
        <v>140</v>
      </c>
      <c r="E24" s="17">
        <f>E21+E22</f>
        <v>1000</v>
      </c>
      <c r="F24" s="7">
        <f>SUM(B24:E24)</f>
        <v>3440</v>
      </c>
      <c r="G24" s="9"/>
      <c r="H24" s="70"/>
      <c r="I24" s="2" t="s">
        <v>138</v>
      </c>
      <c r="J24" s="2" t="s">
        <v>143</v>
      </c>
      <c r="K24" s="2" t="s">
        <v>68</v>
      </c>
      <c r="L24" s="2" t="s">
        <v>68</v>
      </c>
    </row>
    <row r="25" spans="1:12" x14ac:dyDescent="0.3">
      <c r="B25" s="4"/>
      <c r="C25" s="4"/>
      <c r="D25" s="4"/>
      <c r="E25" s="4"/>
      <c r="G25" s="9"/>
      <c r="H25" s="70"/>
      <c r="I25" s="4" t="s">
        <v>139</v>
      </c>
      <c r="J25" s="5">
        <f>J2</f>
        <v>3</v>
      </c>
      <c r="K25" s="69">
        <f>'Dados de apoio'!B12</f>
        <v>120</v>
      </c>
      <c r="L25" s="69">
        <f>K25*J25</f>
        <v>360</v>
      </c>
    </row>
    <row r="26" spans="1:12" x14ac:dyDescent="0.3">
      <c r="A26" s="2" t="s">
        <v>15</v>
      </c>
      <c r="B26" s="11">
        <f>B24/(B7-'Dados de apoio'!H13)</f>
        <v>0.4</v>
      </c>
      <c r="C26" s="11">
        <f>C24/(C7-'Dados de apoio'!I13)</f>
        <v>0.5</v>
      </c>
      <c r="D26" s="11">
        <f>D24/(D7-'Dados de apoio'!J13)</f>
        <v>0.4</v>
      </c>
      <c r="E26" s="11">
        <f>E24/(E7-'Dados de apoio'!K13)</f>
        <v>0.4</v>
      </c>
      <c r="F26" s="11">
        <f>F24/(F7-'Dados de apoio'!L13)</f>
        <v>0.43821656050955415</v>
      </c>
      <c r="G26" s="9"/>
      <c r="H26" s="70"/>
      <c r="I26" s="4" t="s">
        <v>141</v>
      </c>
      <c r="J26" s="5">
        <f>J1+IF(J18="Sim",4,0)</f>
        <v>9</v>
      </c>
      <c r="K26" s="69">
        <f>'Dados de apoio'!B13</f>
        <v>80</v>
      </c>
      <c r="L26" s="69">
        <f t="shared" ref="L26:L28" si="3">K26*J26</f>
        <v>720</v>
      </c>
    </row>
    <row r="27" spans="1:12" x14ac:dyDescent="0.3">
      <c r="B27" s="4"/>
      <c r="C27" s="4"/>
      <c r="D27" s="4"/>
      <c r="E27" s="4"/>
      <c r="G27" s="9"/>
      <c r="H27" s="70"/>
      <c r="I27" s="4" t="s">
        <v>140</v>
      </c>
      <c r="J27" s="5">
        <v>1</v>
      </c>
      <c r="K27" s="69">
        <f>'Dados de apoio'!B14*IF(K17="sim",1.3,1)</f>
        <v>650</v>
      </c>
      <c r="L27" s="69">
        <f t="shared" si="3"/>
        <v>650</v>
      </c>
    </row>
    <row r="28" spans="1:12" x14ac:dyDescent="0.3">
      <c r="A28" s="2" t="s">
        <v>12</v>
      </c>
      <c r="B28" s="12">
        <v>0.05</v>
      </c>
      <c r="C28" s="12">
        <v>0.2</v>
      </c>
      <c r="D28" s="12">
        <v>0.2</v>
      </c>
      <c r="E28" s="12">
        <v>0.15</v>
      </c>
      <c r="I28" s="4" t="s">
        <v>142</v>
      </c>
      <c r="J28" s="5">
        <v>1</v>
      </c>
      <c r="K28" s="69">
        <f>'Dados de apoio'!B15*IF(K14="sim",1.2,1)</f>
        <v>600</v>
      </c>
      <c r="L28" s="69">
        <f t="shared" si="3"/>
        <v>600</v>
      </c>
    </row>
    <row r="29" spans="1:12" x14ac:dyDescent="0.3">
      <c r="A29" s="2" t="s">
        <v>13</v>
      </c>
      <c r="B29" s="8">
        <f>'Dados de apoio'!H5</f>
        <v>0.12</v>
      </c>
      <c r="C29" s="8">
        <f>'Dados de apoio'!I5</f>
        <v>7.0000000000000007E-2</v>
      </c>
      <c r="D29" s="8">
        <f>'Dados de apoio'!J5</f>
        <v>0.25</v>
      </c>
      <c r="E29" s="8">
        <f>'Dados de apoio'!K5</f>
        <v>0.17</v>
      </c>
      <c r="J29" s="83"/>
      <c r="K29" s="2" t="s">
        <v>20</v>
      </c>
      <c r="L29" s="83">
        <f>SUM(L25:L28)</f>
        <v>2330</v>
      </c>
    </row>
    <row r="30" spans="1:12" x14ac:dyDescent="0.3">
      <c r="A30" s="2"/>
      <c r="J30" s="13"/>
      <c r="K30" s="7"/>
    </row>
    <row r="31" spans="1:12" x14ac:dyDescent="0.3">
      <c r="A31" s="2" t="s">
        <v>10</v>
      </c>
      <c r="B31" s="10">
        <f>(B4/(100%-B29))*(100%+B28)</f>
        <v>23.863636363636363</v>
      </c>
      <c r="C31" s="10">
        <f>(C4/(100%-C29))*(100%+C28)</f>
        <v>38.70967741935484</v>
      </c>
      <c r="D31" s="10">
        <f>(D4/(100%-D29))*(100%+D28)</f>
        <v>799.99999999999989</v>
      </c>
      <c r="E31" s="10">
        <f>(E4/(100%-E29))*(100%+E28)</f>
        <v>62.349397590361441</v>
      </c>
      <c r="J31" s="13"/>
      <c r="K31" s="7"/>
    </row>
    <row r="32" spans="1:12" x14ac:dyDescent="0.3">
      <c r="A32" s="18"/>
      <c r="B32" s="21"/>
      <c r="C32" s="21"/>
      <c r="D32" s="21"/>
      <c r="E32" s="21"/>
      <c r="F32" s="62"/>
      <c r="J32" s="13"/>
      <c r="K32" s="7"/>
    </row>
    <row r="33" spans="1:11" x14ac:dyDescent="0.3">
      <c r="A33" s="2"/>
      <c r="B33" s="10"/>
      <c r="C33" s="10"/>
      <c r="D33" s="10"/>
      <c r="E33" s="10"/>
      <c r="J33" s="13"/>
      <c r="K33" s="7"/>
    </row>
    <row r="34" spans="1:11" ht="15" thickBot="1" x14ac:dyDescent="0.35">
      <c r="A34" s="18"/>
      <c r="B34" s="21"/>
      <c r="C34" s="21"/>
      <c r="D34" s="21"/>
      <c r="E34" s="21"/>
      <c r="F34" s="20"/>
      <c r="J34" s="13"/>
      <c r="K34" s="7"/>
    </row>
    <row r="35" spans="1:11" ht="19.95" customHeight="1" x14ac:dyDescent="0.3">
      <c r="A35" s="231" t="s">
        <v>78</v>
      </c>
      <c r="B35" s="232"/>
      <c r="C35" s="232"/>
      <c r="D35" s="232"/>
      <c r="E35" s="232"/>
      <c r="F35" s="233"/>
    </row>
    <row r="36" spans="1:11" s="22" customFormat="1" ht="25.05" customHeight="1" x14ac:dyDescent="0.3">
      <c r="A36" s="38" t="s">
        <v>49</v>
      </c>
      <c r="B36" s="37">
        <f>_xlfn.XLOOKUP($A36&amp;$A$1,'Rodada 1 de Venda'!$G:$G,'Rodada 1 de Venda'!B:B)</f>
        <v>482</v>
      </c>
      <c r="C36" s="37">
        <f>_xlfn.XLOOKUP($A36&amp;$A1,'Rodada 1 de Venda'!$G:$G,'Rodada 1 de Venda'!C:C)</f>
        <v>723</v>
      </c>
      <c r="D36" s="37">
        <f>_xlfn.XLOOKUP($A36&amp;$A1,'Rodada 1 de Venda'!$G:$G,'Rodada 1 de Venda'!D:D)</f>
        <v>84</v>
      </c>
      <c r="E36" s="37">
        <f>_xlfn.XLOOKUP($A36&amp;$A1,'Rodada 1 de Venda'!$G:$G,'Rodada 1 de Venda'!E:E)</f>
        <v>603</v>
      </c>
      <c r="F36" s="37">
        <f>SUM(B36:E36)</f>
        <v>1892</v>
      </c>
      <c r="J36" s="23"/>
    </row>
    <row r="37" spans="1:11" s="29" customFormat="1" ht="25.05" customHeight="1" x14ac:dyDescent="0.3">
      <c r="A37" s="31" t="s">
        <v>30</v>
      </c>
      <c r="B37" s="32">
        <f>-ROUND(IF($J$14="Sim",0,B36/30*($J$4+_xlfn.XLOOKUP($I$14,'Dados de apoio'!$A:$A,'Dados de apoio'!$B:$B))),0)</f>
        <v>0</v>
      </c>
      <c r="C37" s="32">
        <f>-ROUND(IF($J$14="Sim",0,C36/30*($J$4+_xlfn.XLOOKUP($I$14,'Dados de apoio'!$A:$A,'Dados de apoio'!$B:$B))),0)</f>
        <v>0</v>
      </c>
      <c r="D37" s="32">
        <f>-ROUND(IF($J$14="Sim",0,D36/30*($J$4+_xlfn.XLOOKUP($I$14,'Dados de apoio'!$A:$A,'Dados de apoio'!$B:$B))),0)</f>
        <v>0</v>
      </c>
      <c r="E37" s="32">
        <f>-ROUND(IF($J$14="Sim",0,E36/30*($J$4+_xlfn.XLOOKUP($I$14,'Dados de apoio'!$A:$A,'Dados de apoio'!$B:$B))),0)</f>
        <v>0</v>
      </c>
      <c r="F37" s="33">
        <f>SUM(B37:E37)</f>
        <v>0</v>
      </c>
      <c r="G37" s="31"/>
      <c r="J37" s="30"/>
    </row>
    <row r="38" spans="1:11" s="29" customFormat="1" ht="25.05" customHeight="1" x14ac:dyDescent="0.3">
      <c r="A38" s="31" t="s">
        <v>31</v>
      </c>
      <c r="B38" s="32">
        <f>-ROUND(IF($J$15="Sim",0,B36/30*($J$4+_xlfn.XLOOKUP($I$15,'Dados de apoio'!$A:$A,'Dados de apoio'!$B:$B))),0)</f>
        <v>-64</v>
      </c>
      <c r="C38" s="32">
        <v>0</v>
      </c>
      <c r="D38" s="32">
        <v>0</v>
      </c>
      <c r="E38" s="32">
        <v>0</v>
      </c>
      <c r="F38" s="33">
        <f>SUM(B38:E38)</f>
        <v>-64</v>
      </c>
      <c r="G38" s="31"/>
      <c r="J38" s="30"/>
    </row>
    <row r="39" spans="1:11" s="29" customFormat="1" ht="25.05" customHeight="1" x14ac:dyDescent="0.3">
      <c r="A39" s="31" t="s">
        <v>45</v>
      </c>
      <c r="B39" s="32">
        <f>IF(SUM(B36:B38)&gt;B3,B3-SUM(B36:B38),0)</f>
        <v>0</v>
      </c>
      <c r="C39" s="32">
        <f>IF(SUM(C36:C38)&gt;C3,C3-SUM(C36:C38),0)</f>
        <v>0</v>
      </c>
      <c r="D39" s="32">
        <f>IF(SUM(D36:D38)&gt;D3,D3-SUM(D36:D38),0)</f>
        <v>-34</v>
      </c>
      <c r="E39" s="32">
        <f>IF(SUM(E36:E38)&gt;E3,E3-SUM(E36:E38),0)</f>
        <v>0</v>
      </c>
      <c r="F39" s="33">
        <f>SUM(B39:E39)</f>
        <v>-34</v>
      </c>
      <c r="G39" s="31"/>
      <c r="J39" s="30"/>
    </row>
    <row r="40" spans="1:11" s="29" customFormat="1" ht="25.05" customHeight="1" x14ac:dyDescent="0.3">
      <c r="A40" s="34" t="s">
        <v>23</v>
      </c>
      <c r="B40" s="33">
        <f>SUM(B36:B39)</f>
        <v>418</v>
      </c>
      <c r="C40" s="33">
        <f t="shared" ref="C40:E40" si="4">SUM(C36:C39)</f>
        <v>723</v>
      </c>
      <c r="D40" s="33">
        <f t="shared" si="4"/>
        <v>50</v>
      </c>
      <c r="E40" s="33">
        <f t="shared" si="4"/>
        <v>603</v>
      </c>
      <c r="F40" s="33">
        <f>SUM(F36:F39)</f>
        <v>1794</v>
      </c>
      <c r="G40" s="31"/>
      <c r="J40" s="30"/>
    </row>
    <row r="41" spans="1:11" s="22" customFormat="1" ht="25.05" customHeight="1" x14ac:dyDescent="0.3">
      <c r="A41" s="31"/>
      <c r="B41" s="32"/>
      <c r="C41" s="32"/>
      <c r="D41" s="32"/>
      <c r="E41" s="32"/>
      <c r="F41" s="31"/>
      <c r="G41" s="31"/>
      <c r="J41" s="23"/>
    </row>
    <row r="42" spans="1:11" s="22" customFormat="1" ht="25.05" customHeight="1" x14ac:dyDescent="0.3">
      <c r="A42" s="34" t="s">
        <v>22</v>
      </c>
      <c r="B42" s="35">
        <f>B40*B$14</f>
        <v>9975</v>
      </c>
      <c r="C42" s="35">
        <f t="shared" ref="C42:E42" si="5">C40*C$14</f>
        <v>27987.096774193549</v>
      </c>
      <c r="D42" s="35">
        <f t="shared" si="5"/>
        <v>41666.666666666664</v>
      </c>
      <c r="E42" s="35">
        <f t="shared" si="5"/>
        <v>37596.686746987951</v>
      </c>
      <c r="F42" s="36">
        <f>SUM(B42:E42)</f>
        <v>117225.45018784815</v>
      </c>
      <c r="G42" s="31"/>
      <c r="J42" s="23"/>
    </row>
    <row r="43" spans="1:11" s="22" customFormat="1" ht="25.05" customHeight="1" x14ac:dyDescent="0.3">
      <c r="A43" s="25"/>
      <c r="B43" s="26"/>
      <c r="C43" s="26"/>
      <c r="D43" s="26"/>
      <c r="E43" s="26"/>
      <c r="F43" s="27"/>
      <c r="J43" s="23"/>
    </row>
    <row r="44" spans="1:11" s="22" customFormat="1" ht="25.05" customHeight="1" x14ac:dyDescent="0.3">
      <c r="A44" s="25" t="s">
        <v>43</v>
      </c>
      <c r="B44" s="26">
        <f>B3-B40</f>
        <v>637</v>
      </c>
      <c r="C44" s="26">
        <f>C3-C40</f>
        <v>852</v>
      </c>
      <c r="D44" s="26">
        <f>D3-D40</f>
        <v>0</v>
      </c>
      <c r="E44" s="26">
        <f>E3-E40</f>
        <v>637</v>
      </c>
      <c r="F44" s="26"/>
      <c r="J44" s="23"/>
    </row>
    <row r="45" spans="1:11" s="22" customFormat="1" ht="25.05" customHeight="1" thickBot="1" x14ac:dyDescent="0.35">
      <c r="A45" s="25"/>
      <c r="B45" s="26"/>
      <c r="C45" s="26"/>
      <c r="D45" s="26"/>
      <c r="E45" s="26"/>
      <c r="F45" s="26"/>
      <c r="J45" s="23"/>
    </row>
    <row r="46" spans="1:11" s="22" customFormat="1" ht="19.95" customHeight="1" x14ac:dyDescent="0.3">
      <c r="A46" s="231" t="s">
        <v>76</v>
      </c>
      <c r="B46" s="232"/>
      <c r="C46" s="232"/>
      <c r="D46" s="232"/>
      <c r="E46" s="232"/>
      <c r="F46" s="233"/>
      <c r="J46" s="23"/>
    </row>
    <row r="47" spans="1:11" s="25" customFormat="1" ht="25.05" customHeight="1" x14ac:dyDescent="0.3">
      <c r="A47" s="39" t="s">
        <v>50</v>
      </c>
      <c r="B47" s="37">
        <f>_xlfn.XLOOKUP($A47&amp;$A$1,'Demais Rodadas de Venda'!$G:$G,'Demais Rodadas de Venda'!B:B)</f>
        <v>150</v>
      </c>
      <c r="C47" s="37">
        <f>_xlfn.XLOOKUP($A47&amp;$A$1,'Demais Rodadas de Venda'!$G:$G,'Demais Rodadas de Venda'!C:C)</f>
        <v>224</v>
      </c>
      <c r="D47" s="37">
        <f>_xlfn.XLOOKUP($A47&amp;$A$1,'Demais Rodadas de Venda'!$G:$G,'Demais Rodadas de Venda'!D:D)</f>
        <v>26</v>
      </c>
      <c r="E47" s="37">
        <f>_xlfn.XLOOKUP($A47&amp;$A$1,'Demais Rodadas de Venda'!$G:$G,'Demais Rodadas de Venda'!E:E)</f>
        <v>187</v>
      </c>
      <c r="F47" s="37">
        <f>SUM(B47:E47)</f>
        <v>587</v>
      </c>
      <c r="J47" s="24"/>
    </row>
    <row r="48" spans="1:11" s="22" customFormat="1" ht="25.05" customHeight="1" x14ac:dyDescent="0.3">
      <c r="A48" s="22" t="s">
        <v>33</v>
      </c>
      <c r="B48" s="23">
        <f>-ROUND(IF($J$16="Sim",0,B47/30*($J$4+_xlfn.XLOOKUP($I$16,'Dados de apoio'!$A:$A,'Dados de apoio'!$B:$B))),0)</f>
        <v>0</v>
      </c>
      <c r="C48" s="23">
        <f>-ROUND(IF($J$16="Sim",0,C47/30*($J$4+_xlfn.XLOOKUP($I$16,'Dados de apoio'!$A:$A,'Dados de apoio'!$B:$B))),0)</f>
        <v>0</v>
      </c>
      <c r="D48" s="23">
        <f>-ROUND(IF($J$16="Sim",0,D47/30*($J$4+_xlfn.XLOOKUP($I$16,'Dados de apoio'!$A:$A,'Dados de apoio'!$B:$B))),0)</f>
        <v>0</v>
      </c>
      <c r="E48" s="23">
        <f>-ROUND(IF($J$16="Sim",0,E47/30*($J$4+_xlfn.XLOOKUP($I$16,'Dados de apoio'!$A:$A,'Dados de apoio'!$B:$B))),0)</f>
        <v>0</v>
      </c>
      <c r="F48" s="24">
        <f t="shared" ref="F48:F51" si="6">SUM(B48:E48)</f>
        <v>0</v>
      </c>
      <c r="J48" s="23"/>
    </row>
    <row r="49" spans="1:10" s="22" customFormat="1" ht="25.05" customHeight="1" x14ac:dyDescent="0.3">
      <c r="A49" s="22" t="s">
        <v>34</v>
      </c>
      <c r="B49" s="23">
        <f>-ROUND(IF($J$17="Sim",0,B47/30*($J$4+_xlfn.XLOOKUP($I$17,'Dados de apoio'!$A:$A,'Dados de apoio'!$B:$B))),0)</f>
        <v>0</v>
      </c>
      <c r="C49" s="23">
        <f>-ROUND(IF($J$17="Sim",0,C47/30*($J$4+_xlfn.XLOOKUP($I$17,'Dados de apoio'!$A:$A,'Dados de apoio'!$B:$B))),0)</f>
        <v>0</v>
      </c>
      <c r="D49" s="23">
        <f>-ROUND(IF($J$17="Sim",0,D47/30*($J$4+_xlfn.XLOOKUP($I$17,'Dados de apoio'!$A:$A,'Dados de apoio'!$B:$B))),0)</f>
        <v>0</v>
      </c>
      <c r="E49" s="23">
        <f>-ROUND(IF($J$17="Sim",0,E47/30*($J$4+_xlfn.XLOOKUP($I$17,'Dados de apoio'!$A:$A,'Dados de apoio'!$B:$B))),0)</f>
        <v>0</v>
      </c>
      <c r="F49" s="24">
        <f t="shared" si="6"/>
        <v>0</v>
      </c>
      <c r="J49" s="23"/>
    </row>
    <row r="50" spans="1:10" s="22" customFormat="1" ht="25.05" customHeight="1" x14ac:dyDescent="0.3">
      <c r="A50" s="22" t="s">
        <v>45</v>
      </c>
      <c r="B50" s="23">
        <f>IF(SUM(B47:B49)&gt;B24,B24-SUM(B47:B49),0)</f>
        <v>0</v>
      </c>
      <c r="C50" s="23">
        <f>IF(SUM(C47:C49)&gt;C24,C24-SUM(C47:C49),0)</f>
        <v>0</v>
      </c>
      <c r="D50" s="23">
        <f>IF(SUM(D47:D49)&gt;D24,D24-SUM(D47:D49),0)</f>
        <v>0</v>
      </c>
      <c r="E50" s="23">
        <f>IF(SUM(E47:E49)&gt;E24,E24-SUM(E47:E49),0)</f>
        <v>0</v>
      </c>
      <c r="F50" s="24">
        <f t="shared" si="6"/>
        <v>0</v>
      </c>
      <c r="J50" s="23"/>
    </row>
    <row r="51" spans="1:10" s="22" customFormat="1" ht="25.05" customHeight="1" x14ac:dyDescent="0.3">
      <c r="A51" s="25" t="s">
        <v>23</v>
      </c>
      <c r="B51" s="24">
        <f>SUM(B47:B50)</f>
        <v>150</v>
      </c>
      <c r="C51" s="24">
        <f t="shared" ref="C51:E51" si="7">SUM(C47:C50)</f>
        <v>224</v>
      </c>
      <c r="D51" s="24">
        <f t="shared" si="7"/>
        <v>26</v>
      </c>
      <c r="E51" s="24">
        <f t="shared" si="7"/>
        <v>187</v>
      </c>
      <c r="F51" s="24">
        <f t="shared" si="6"/>
        <v>587</v>
      </c>
      <c r="J51" s="23"/>
    </row>
    <row r="52" spans="1:10" s="22" customFormat="1" ht="25.05" customHeight="1" x14ac:dyDescent="0.3">
      <c r="B52" s="23"/>
      <c r="C52" s="23"/>
      <c r="D52" s="23"/>
      <c r="E52" s="23"/>
      <c r="J52" s="23"/>
    </row>
    <row r="53" spans="1:10" s="22" customFormat="1" ht="25.05" customHeight="1" x14ac:dyDescent="0.3">
      <c r="A53" s="25" t="s">
        <v>22</v>
      </c>
      <c r="B53" s="26">
        <f>B51*B$31</f>
        <v>3579.5454545454545</v>
      </c>
      <c r="C53" s="26">
        <f>C51*C$31</f>
        <v>8670.9677419354848</v>
      </c>
      <c r="D53" s="26">
        <f>D51*D$31</f>
        <v>20799.999999999996</v>
      </c>
      <c r="E53" s="26">
        <f>E51*E$31</f>
        <v>11659.337349397589</v>
      </c>
      <c r="F53" s="27">
        <f>SUM(B53:E53)</f>
        <v>44709.850545878522</v>
      </c>
      <c r="J53" s="23"/>
    </row>
    <row r="54" spans="1:10" s="22" customFormat="1" ht="25.05" customHeight="1" thickBot="1" x14ac:dyDescent="0.35">
      <c r="A54" s="25"/>
      <c r="B54" s="26"/>
      <c r="C54" s="26"/>
      <c r="D54" s="26"/>
      <c r="E54" s="26"/>
      <c r="F54" s="27"/>
      <c r="J54" s="23"/>
    </row>
    <row r="55" spans="1:10" s="22" customFormat="1" ht="25.05" customHeight="1" x14ac:dyDescent="0.3">
      <c r="A55" s="231" t="s">
        <v>36</v>
      </c>
      <c r="B55" s="232"/>
      <c r="C55" s="232"/>
      <c r="D55" s="232"/>
      <c r="E55" s="232"/>
      <c r="F55" s="233"/>
      <c r="J55" s="23"/>
    </row>
    <row r="56" spans="1:10" s="22" customFormat="1" ht="25.05" customHeight="1" x14ac:dyDescent="0.3">
      <c r="A56" s="39" t="s">
        <v>36</v>
      </c>
      <c r="B56" s="45">
        <f>_xlfn.XLOOKUP($A56&amp;$A$1,'Demais Rodadas de Venda'!$G:$G,'Demais Rodadas de Venda'!B:B)</f>
        <v>400</v>
      </c>
      <c r="C56" s="45">
        <f>_xlfn.XLOOKUP($A56&amp;$A$1,'Demais Rodadas de Venda'!$G:$G,'Demais Rodadas de Venda'!C:C)</f>
        <v>200</v>
      </c>
      <c r="D56" s="45">
        <f>_xlfn.XLOOKUP($A56&amp;$A$1,'Demais Rodadas de Venda'!$G:$G,'Demais Rodadas de Venda'!D:D)</f>
        <v>70</v>
      </c>
      <c r="E56" s="45">
        <f>_xlfn.XLOOKUP($A56&amp;$A$1,'Demais Rodadas de Venda'!$G:$G,'Demais Rodadas de Venda'!E:E)</f>
        <v>0</v>
      </c>
      <c r="F56" s="41">
        <f>SUM(B56:E56)</f>
        <v>670</v>
      </c>
      <c r="J56" s="23"/>
    </row>
    <row r="57" spans="1:10" s="22" customFormat="1" ht="25.05" customHeight="1" x14ac:dyDescent="0.3">
      <c r="A57" s="22" t="s">
        <v>45</v>
      </c>
      <c r="B57" s="23">
        <f>IF(B56&gt;0,IF(B56&gt;(B24-B51),(B24-B51)-B56,0),0)</f>
        <v>0</v>
      </c>
      <c r="C57" s="23">
        <f>IF(C56&gt;0,IF(C56&gt;(C24-C51),(C24-C51)-C56,0),0)</f>
        <v>0</v>
      </c>
      <c r="D57" s="23">
        <f>IF(D56&gt;0,IF(D56&gt;(D24-D51),(D24-D51)-D56,0),0)</f>
        <v>0</v>
      </c>
      <c r="E57" s="23">
        <f>IF(E56&gt;0,IF(E56&gt;(E24-E51),(E24-E51)-E56,0),0)</f>
        <v>0</v>
      </c>
      <c r="F57" s="27">
        <f>SUM(B57:E57)</f>
        <v>0</v>
      </c>
      <c r="J57" s="23"/>
    </row>
    <row r="58" spans="1:10" s="22" customFormat="1" ht="25.05" customHeight="1" x14ac:dyDescent="0.3">
      <c r="A58" s="25" t="s">
        <v>46</v>
      </c>
      <c r="B58" s="23">
        <f>SUM(B56:B57)</f>
        <v>400</v>
      </c>
      <c r="C58" s="23">
        <f t="shared" ref="C58:E58" si="8">SUM(C56:C57)</f>
        <v>200</v>
      </c>
      <c r="D58" s="23">
        <f t="shared" si="8"/>
        <v>70</v>
      </c>
      <c r="E58" s="23">
        <f t="shared" si="8"/>
        <v>0</v>
      </c>
      <c r="F58" s="27">
        <f>SUM(B58:E58)</f>
        <v>670</v>
      </c>
      <c r="J58" s="23"/>
    </row>
    <row r="59" spans="1:10" s="22" customFormat="1" ht="25.05" customHeight="1" x14ac:dyDescent="0.3">
      <c r="A59" s="25" t="s">
        <v>10</v>
      </c>
      <c r="B59" s="28">
        <f>_xlfn.XLOOKUP("Preço Atacado"&amp;$A$1,'Demais Rodadas de Venda'!$G:$G,'Demais Rodadas de Venda'!B:B)</f>
        <v>80</v>
      </c>
      <c r="C59" s="28">
        <f>_xlfn.XLOOKUP("Preço Atacado"&amp;$A$1,'Demais Rodadas de Venda'!$G:$G,'Demais Rodadas de Venda'!C:C)</f>
        <v>80</v>
      </c>
      <c r="D59" s="28">
        <f>_xlfn.XLOOKUP("Preço Atacado"&amp;$A$1,'Demais Rodadas de Venda'!$G:$G,'Demais Rodadas de Venda'!D:D)</f>
        <v>80</v>
      </c>
      <c r="E59" s="28">
        <f>_xlfn.XLOOKUP("Preço Atacado"&amp;$A$1,'Demais Rodadas de Venda'!$G:$G,'Demais Rodadas de Venda'!E:E)</f>
        <v>80</v>
      </c>
      <c r="F59" s="27">
        <f t="shared" ref="F59:F60" si="9">SUM(B59:E59)</f>
        <v>320</v>
      </c>
      <c r="J59" s="23"/>
    </row>
    <row r="60" spans="1:10" s="22" customFormat="1" ht="25.05" customHeight="1" x14ac:dyDescent="0.3">
      <c r="A60" s="25" t="s">
        <v>40</v>
      </c>
      <c r="B60" s="26">
        <f>B58*B59</f>
        <v>32000</v>
      </c>
      <c r="C60" s="26">
        <f t="shared" ref="C60:E60" si="10">C58*C59</f>
        <v>16000</v>
      </c>
      <c r="D60" s="26">
        <f t="shared" si="10"/>
        <v>5600</v>
      </c>
      <c r="E60" s="26">
        <f t="shared" si="10"/>
        <v>0</v>
      </c>
      <c r="F60" s="27">
        <f t="shared" si="9"/>
        <v>53600</v>
      </c>
      <c r="J60" s="23"/>
    </row>
    <row r="61" spans="1:10" s="22" customFormat="1" ht="25.05" customHeight="1" x14ac:dyDescent="0.3">
      <c r="A61" s="25"/>
      <c r="B61" s="28"/>
      <c r="C61" s="28"/>
      <c r="D61" s="28"/>
      <c r="E61" s="28"/>
      <c r="F61" s="27"/>
      <c r="J61" s="23"/>
    </row>
    <row r="62" spans="1:10" s="22" customFormat="1" ht="25.05" customHeight="1" x14ac:dyDescent="0.3">
      <c r="A62" s="25" t="s">
        <v>38</v>
      </c>
      <c r="B62" s="26">
        <f>B53+B60</f>
        <v>35579.545454545456</v>
      </c>
      <c r="C62" s="26">
        <f t="shared" ref="C62:E62" si="11">C53+C60</f>
        <v>24670.967741935485</v>
      </c>
      <c r="D62" s="26">
        <f t="shared" si="11"/>
        <v>26399.999999999996</v>
      </c>
      <c r="E62" s="26">
        <f t="shared" si="11"/>
        <v>11659.337349397589</v>
      </c>
      <c r="F62" s="26">
        <f>SUM(B62:E62)</f>
        <v>98309.850545878522</v>
      </c>
      <c r="J62" s="23"/>
    </row>
    <row r="63" spans="1:10" s="22" customFormat="1" ht="14.4" customHeight="1" x14ac:dyDescent="0.3">
      <c r="A63" s="25"/>
      <c r="B63" s="26"/>
      <c r="C63" s="26"/>
      <c r="D63" s="26"/>
      <c r="E63" s="26"/>
      <c r="F63" s="26"/>
      <c r="J63" s="23"/>
    </row>
    <row r="64" spans="1:10" s="22" customFormat="1" ht="25.05" customHeight="1" x14ac:dyDescent="0.3">
      <c r="A64" s="25" t="s">
        <v>43</v>
      </c>
      <c r="B64" s="26">
        <f>B24-B51-B58</f>
        <v>250</v>
      </c>
      <c r="C64" s="26">
        <f>C24-C51-C58</f>
        <v>1076</v>
      </c>
      <c r="D64" s="26">
        <f>D24-D51-D58</f>
        <v>44</v>
      </c>
      <c r="E64" s="26">
        <f>E24-E51-E58</f>
        <v>813</v>
      </c>
      <c r="F64" s="26"/>
      <c r="J64" s="23"/>
    </row>
    <row r="65" spans="1:10" s="22" customFormat="1" ht="10.199999999999999" customHeight="1" thickBot="1" x14ac:dyDescent="0.35">
      <c r="B65" s="23"/>
      <c r="C65" s="23"/>
      <c r="D65" s="23"/>
      <c r="E65" s="23"/>
      <c r="J65" s="23"/>
    </row>
    <row r="66" spans="1:10" s="22" customFormat="1" ht="19.95" customHeight="1" x14ac:dyDescent="0.3">
      <c r="A66" s="231" t="s">
        <v>77</v>
      </c>
      <c r="B66" s="232"/>
      <c r="C66" s="232"/>
      <c r="D66" s="232"/>
      <c r="E66" s="232"/>
      <c r="F66" s="233"/>
      <c r="J66" s="23"/>
    </row>
    <row r="67" spans="1:10" s="25" customFormat="1" ht="25.05" customHeight="1" x14ac:dyDescent="0.3">
      <c r="A67" s="39" t="s">
        <v>51</v>
      </c>
      <c r="B67" s="37">
        <f>_xlfn.XLOOKUP($A67&amp;$A$1,'Demais Rodadas de Venda'!$G:$G,'Demais Rodadas de Venda'!B:B)</f>
        <v>224</v>
      </c>
      <c r="C67" s="37">
        <f>_xlfn.XLOOKUP($A67&amp;$A$1,'Demais Rodadas de Venda'!$G:$G,'Demais Rodadas de Venda'!C:C)</f>
        <v>337</v>
      </c>
      <c r="D67" s="37">
        <f>_xlfn.XLOOKUP($A67&amp;$A$1,'Demais Rodadas de Venda'!$G:$G,'Demais Rodadas de Venda'!D:D)</f>
        <v>39</v>
      </c>
      <c r="E67" s="37">
        <f>_xlfn.XLOOKUP($A67&amp;$A$1,'Demais Rodadas de Venda'!$G:$G,'Demais Rodadas de Venda'!E:E)</f>
        <v>279</v>
      </c>
      <c r="F67" s="37">
        <f>SUM(B67:E67)</f>
        <v>879</v>
      </c>
      <c r="J67" s="24"/>
    </row>
    <row r="68" spans="1:10" s="22" customFormat="1" ht="25.05" customHeight="1" x14ac:dyDescent="0.3">
      <c r="A68" s="22" t="s">
        <v>35</v>
      </c>
      <c r="B68" s="23">
        <f>-ROUND(IF($J$18="Sim",0,B67/30*($J$4+_xlfn.XLOOKUP($I$18,'Dados de apoio'!$A:$A,'Dados de apoio'!$B:$B))),0)</f>
        <v>0</v>
      </c>
      <c r="C68" s="23">
        <f>-ROUND(IF($J$18="Sim",0,C67/30*($J$4+_xlfn.XLOOKUP($I$18,'Dados de apoio'!$A:$A,'Dados de apoio'!$B:$B))),0)</f>
        <v>0</v>
      </c>
      <c r="D68" s="23">
        <f>-ROUND(IF($J$18="Sim",0,D67/30*($J$4+_xlfn.XLOOKUP($I$18,'Dados de apoio'!$A:$A,'Dados de apoio'!$B:$B))),0)</f>
        <v>0</v>
      </c>
      <c r="E68" s="23">
        <f>-ROUND(IF($J$18="Sim",0,E67/30*($J$4+_xlfn.XLOOKUP($I$18,'Dados de apoio'!$A:$A,'Dados de apoio'!$B:$B))),0)</f>
        <v>0</v>
      </c>
      <c r="F68" s="24">
        <f>SUM(B68:E68)</f>
        <v>0</v>
      </c>
      <c r="J68" s="23"/>
    </row>
    <row r="69" spans="1:10" s="22" customFormat="1" ht="25.05" customHeight="1" x14ac:dyDescent="0.3">
      <c r="A69" s="22" t="s">
        <v>45</v>
      </c>
      <c r="B69" s="23">
        <f>IF(SUM(B67:B68)&gt;B64,B64-SUM(B67:B68),0)</f>
        <v>0</v>
      </c>
      <c r="C69" s="23">
        <f t="shared" ref="C69:E69" si="12">IF(SUM(C67:C68)&gt;C64,C64-SUM(C67:C68),0)</f>
        <v>0</v>
      </c>
      <c r="D69" s="23">
        <f t="shared" si="12"/>
        <v>0</v>
      </c>
      <c r="E69" s="23">
        <f t="shared" si="12"/>
        <v>0</v>
      </c>
      <c r="F69" s="24">
        <f>SUM(B69:E69)</f>
        <v>0</v>
      </c>
      <c r="J69" s="23"/>
    </row>
    <row r="70" spans="1:10" s="22" customFormat="1" ht="25.05" customHeight="1" x14ac:dyDescent="0.3">
      <c r="A70" s="25" t="s">
        <v>23</v>
      </c>
      <c r="B70" s="24">
        <f>SUM(B67:B69)</f>
        <v>224</v>
      </c>
      <c r="C70" s="24">
        <f t="shared" ref="C70:E70" si="13">SUM(C67:C69)</f>
        <v>337</v>
      </c>
      <c r="D70" s="24">
        <f t="shared" si="13"/>
        <v>39</v>
      </c>
      <c r="E70" s="24">
        <f t="shared" si="13"/>
        <v>279</v>
      </c>
      <c r="F70" s="24">
        <f>SUM(B70:E70)</f>
        <v>879</v>
      </c>
      <c r="J70" s="23"/>
    </row>
    <row r="71" spans="1:10" s="22" customFormat="1" ht="25.05" customHeight="1" x14ac:dyDescent="0.3">
      <c r="B71" s="23"/>
      <c r="C71" s="23"/>
      <c r="D71" s="23"/>
      <c r="E71" s="23"/>
      <c r="J71" s="23"/>
    </row>
    <row r="72" spans="1:10" s="22" customFormat="1" ht="25.05" customHeight="1" x14ac:dyDescent="0.3">
      <c r="A72" s="25" t="s">
        <v>22</v>
      </c>
      <c r="B72" s="26">
        <f>B70*B$31</f>
        <v>5345.454545454545</v>
      </c>
      <c r="C72" s="26">
        <f>C70*C$31</f>
        <v>13045.161290322581</v>
      </c>
      <c r="D72" s="26">
        <f>D70*D$31</f>
        <v>31199.999999999996</v>
      </c>
      <c r="E72" s="26">
        <f>E70*E$31</f>
        <v>17395.481927710844</v>
      </c>
      <c r="F72" s="27">
        <f>SUM(B72:E72)</f>
        <v>66986.097763487967</v>
      </c>
      <c r="J72" s="23"/>
    </row>
    <row r="73" spans="1:10" s="22" customFormat="1" ht="25.05" customHeight="1" x14ac:dyDescent="0.3">
      <c r="B73" s="23"/>
      <c r="C73" s="23"/>
      <c r="D73" s="23"/>
      <c r="E73" s="23"/>
      <c r="J73" s="23"/>
    </row>
    <row r="74" spans="1:10" s="22" customFormat="1" ht="25.05" customHeight="1" x14ac:dyDescent="0.3">
      <c r="A74" s="25" t="s">
        <v>44</v>
      </c>
      <c r="B74" s="26">
        <f>B64-B70</f>
        <v>26</v>
      </c>
      <c r="C74" s="26">
        <f t="shared" ref="C74:E74" si="14">C64-C70</f>
        <v>739</v>
      </c>
      <c r="D74" s="26">
        <f t="shared" si="14"/>
        <v>5</v>
      </c>
      <c r="E74" s="26">
        <f t="shared" si="14"/>
        <v>534</v>
      </c>
      <c r="F74" s="27">
        <f>SUM(B74:E74)</f>
        <v>1304</v>
      </c>
      <c r="J74" s="23"/>
    </row>
    <row r="75" spans="1:10" s="22" customFormat="1" ht="25.05" customHeight="1" x14ac:dyDescent="0.3">
      <c r="A75" s="25" t="s">
        <v>134</v>
      </c>
      <c r="B75" s="26">
        <f>B74*B4</f>
        <v>520</v>
      </c>
      <c r="C75" s="26">
        <f t="shared" ref="C75:E75" si="15">C74*C4</f>
        <v>22170</v>
      </c>
      <c r="D75" s="26">
        <f t="shared" si="15"/>
        <v>2500</v>
      </c>
      <c r="E75" s="26">
        <f t="shared" si="15"/>
        <v>24030</v>
      </c>
      <c r="F75" s="27">
        <f>SUM(B75:E75)</f>
        <v>49220</v>
      </c>
      <c r="J75" s="23"/>
    </row>
    <row r="76" spans="1:10" s="22" customFormat="1" ht="25.05" customHeight="1" thickBot="1" x14ac:dyDescent="0.35">
      <c r="A76" s="25"/>
      <c r="B76" s="26"/>
      <c r="C76" s="26"/>
      <c r="D76" s="26"/>
      <c r="E76" s="26"/>
      <c r="J76" s="23"/>
    </row>
    <row r="77" spans="1:10" s="22" customFormat="1" ht="25.05" customHeight="1" x14ac:dyDescent="0.3">
      <c r="A77" s="231" t="s">
        <v>62</v>
      </c>
      <c r="B77" s="232"/>
      <c r="C77" s="232"/>
      <c r="D77" s="232"/>
      <c r="E77" s="232"/>
      <c r="F77" s="233"/>
      <c r="J77" s="23"/>
    </row>
    <row r="78" spans="1:10" s="22" customFormat="1" ht="9.6" customHeight="1" x14ac:dyDescent="0.3">
      <c r="B78" s="23"/>
      <c r="C78" s="23"/>
      <c r="D78" s="23"/>
      <c r="E78" s="23"/>
      <c r="J78" s="23"/>
    </row>
    <row r="79" spans="1:10" s="22" customFormat="1" ht="25.05" customHeight="1" x14ac:dyDescent="0.3">
      <c r="A79" s="25" t="s">
        <v>41</v>
      </c>
      <c r="B79" s="24">
        <f>B40+B51+B58+B70</f>
        <v>1192</v>
      </c>
      <c r="C79" s="24">
        <f>C40+C51+C58+C70</f>
        <v>1484</v>
      </c>
      <c r="D79" s="24">
        <f>D40+D51+D58+D70</f>
        <v>185</v>
      </c>
      <c r="E79" s="24">
        <f>E40+E51+E58+E70</f>
        <v>1069</v>
      </c>
      <c r="F79" s="27">
        <f>SUM(B79:E79)</f>
        <v>3930</v>
      </c>
      <c r="J79" s="23"/>
    </row>
    <row r="80" spans="1:10" s="22" customFormat="1" ht="31.8" customHeight="1" x14ac:dyDescent="0.3">
      <c r="A80" s="22" t="s">
        <v>106</v>
      </c>
      <c r="B80" s="23">
        <f>(B36-B40)+(B47-B51)+B57+(B67-B70)</f>
        <v>64</v>
      </c>
      <c r="C80" s="23">
        <f>(C36-C40)+(C47-C51)+C57+(C67-C70)</f>
        <v>0</v>
      </c>
      <c r="D80" s="23">
        <f>(D36-D40)+(D47-D51)+D57+(D67-D70)</f>
        <v>34</v>
      </c>
      <c r="E80" s="23">
        <f>(E36-E40)+(E47-E51)+E57+(E67-E70)</f>
        <v>0</v>
      </c>
      <c r="F80" s="98">
        <f>SUM(B80:E80)</f>
        <v>98</v>
      </c>
      <c r="J80" s="23"/>
    </row>
    <row r="81" spans="1:10" s="22" customFormat="1" ht="25.05" customHeight="1" x14ac:dyDescent="0.3">
      <c r="A81" s="39" t="s">
        <v>39</v>
      </c>
      <c r="B81" s="40">
        <f>B42+B62+B72</f>
        <v>50900</v>
      </c>
      <c r="C81" s="40">
        <f>C42+C62+C72</f>
        <v>65703.225806451606</v>
      </c>
      <c r="D81" s="40">
        <f>D42+D62+D72</f>
        <v>99266.666666666657</v>
      </c>
      <c r="E81" s="40">
        <f>E42+E62+E72</f>
        <v>66651.506024096379</v>
      </c>
      <c r="F81" s="41">
        <f>SUM(B81:E81)</f>
        <v>282521.39849721466</v>
      </c>
      <c r="J81" s="23"/>
    </row>
    <row r="82" spans="1:10" s="22" customFormat="1" ht="25.05" customHeight="1" x14ac:dyDescent="0.3">
      <c r="A82" s="25"/>
      <c r="B82" s="24"/>
      <c r="C82" s="24"/>
      <c r="D82" s="24"/>
      <c r="E82" s="24"/>
      <c r="F82" s="25"/>
      <c r="J82" s="23"/>
    </row>
    <row r="83" spans="1:10" s="22" customFormat="1" ht="25.05" customHeight="1" x14ac:dyDescent="0.3">
      <c r="A83" s="25" t="s">
        <v>42</v>
      </c>
      <c r="B83" s="26">
        <f>B79*B4</f>
        <v>23840</v>
      </c>
      <c r="C83" s="26">
        <f>C79*C4</f>
        <v>44520</v>
      </c>
      <c r="D83" s="26">
        <f>D79*D4</f>
        <v>92500</v>
      </c>
      <c r="E83" s="26">
        <f>E79*E4</f>
        <v>48105</v>
      </c>
      <c r="F83" s="27">
        <f>SUM(B83:E83)</f>
        <v>208965</v>
      </c>
      <c r="J83" s="23"/>
    </row>
    <row r="84" spans="1:10" s="22" customFormat="1" ht="25.05" customHeight="1" x14ac:dyDescent="0.3">
      <c r="A84" s="25"/>
      <c r="B84" s="24"/>
      <c r="C84" s="24"/>
      <c r="D84" s="24"/>
      <c r="E84" s="24"/>
      <c r="F84" s="25"/>
      <c r="J84" s="23"/>
    </row>
    <row r="85" spans="1:10" s="22" customFormat="1" ht="25.05" customHeight="1" x14ac:dyDescent="0.3">
      <c r="A85" s="25" t="s">
        <v>11</v>
      </c>
      <c r="B85" s="26">
        <f>B81*B12</f>
        <v>6108</v>
      </c>
      <c r="C85" s="26">
        <f>C81*C12</f>
        <v>4599.2258064516127</v>
      </c>
      <c r="D85" s="26">
        <f>D81*D12</f>
        <v>24816.666666666664</v>
      </c>
      <c r="E85" s="26">
        <f>E81*E12</f>
        <v>11330.756024096385</v>
      </c>
      <c r="F85" s="27">
        <f>SUM(B85:E85)</f>
        <v>46854.648497214665</v>
      </c>
      <c r="I85" s="98">
        <f>F81-F85</f>
        <v>235666.75</v>
      </c>
      <c r="J85" s="23"/>
    </row>
    <row r="86" spans="1:10" s="22" customFormat="1" ht="13.8" customHeight="1" x14ac:dyDescent="0.3">
      <c r="A86" s="25"/>
      <c r="B86" s="26"/>
      <c r="C86" s="26"/>
      <c r="D86" s="26"/>
      <c r="E86" s="26"/>
      <c r="F86" s="27"/>
      <c r="J86" s="23"/>
    </row>
    <row r="87" spans="1:10" s="22" customFormat="1" ht="25.05" customHeight="1" x14ac:dyDescent="0.3">
      <c r="A87" s="25" t="s">
        <v>84</v>
      </c>
      <c r="B87" s="26">
        <f>B75*'Dados de apoio'!H6</f>
        <v>10.4</v>
      </c>
      <c r="C87" s="26">
        <f>C75*'Dados de apoio'!I6</f>
        <v>332.55</v>
      </c>
      <c r="D87" s="26">
        <f>D75*'Dados de apoio'!J6</f>
        <v>0</v>
      </c>
      <c r="E87" s="26">
        <f>E75*'Dados de apoio'!K6</f>
        <v>240.3</v>
      </c>
      <c r="F87" s="27">
        <f>SUM(B87:E87)</f>
        <v>583.25</v>
      </c>
      <c r="J87" s="23"/>
    </row>
    <row r="88" spans="1:10" s="22" customFormat="1" ht="25.05" customHeight="1" x14ac:dyDescent="0.3">
      <c r="A88" s="25"/>
      <c r="B88" s="26"/>
      <c r="C88" s="26"/>
      <c r="D88" s="26"/>
      <c r="E88" s="26"/>
      <c r="F88" s="27"/>
      <c r="J88" s="23"/>
    </row>
    <row r="89" spans="1:10" s="22" customFormat="1" ht="25.05" customHeight="1" x14ac:dyDescent="0.3">
      <c r="A89" s="25" t="s">
        <v>135</v>
      </c>
      <c r="B89" s="26">
        <f>B75*'Dados de apoio'!H7</f>
        <v>30.333333333333329</v>
      </c>
      <c r="C89" s="26">
        <f>C75*'Dados de apoio'!I7</f>
        <v>184.75</v>
      </c>
      <c r="D89" s="26">
        <f>D75*'Dados de apoio'!J7</f>
        <v>33.333333333333336</v>
      </c>
      <c r="E89" s="26">
        <f>E75*'Dados de apoio'!K7</f>
        <v>260.32499999999999</v>
      </c>
      <c r="F89" s="27">
        <f>SUM(B89:E89)</f>
        <v>508.74166666666667</v>
      </c>
      <c r="J89" s="23"/>
    </row>
    <row r="90" spans="1:10" s="22" customFormat="1" ht="12.6" customHeight="1" x14ac:dyDescent="0.3">
      <c r="B90" s="23"/>
      <c r="C90" s="23"/>
      <c r="D90" s="23"/>
      <c r="E90" s="23"/>
      <c r="J90" s="23"/>
    </row>
    <row r="91" spans="1:10" s="22" customFormat="1" ht="25.05" customHeight="1" x14ac:dyDescent="0.3">
      <c r="A91" s="42" t="s">
        <v>63</v>
      </c>
      <c r="B91" s="43">
        <f>IFERROR((B81-B83-B85)/(B81-B85),0)</f>
        <v>0.46776210037506699</v>
      </c>
      <c r="C91" s="43">
        <f>IFERROR((C81-C83-C85)/(C81-C85),0)</f>
        <v>0.27140612725844454</v>
      </c>
      <c r="D91" s="43">
        <f>IFERROR((D81-D83-D85)/(D81-D85),0)</f>
        <v>-0.24244459368703838</v>
      </c>
      <c r="E91" s="43">
        <f>IFERROR((E81-E83-E85)/(E81-E85),0)</f>
        <v>0.13043478260869557</v>
      </c>
      <c r="F91" s="44">
        <f>IFERROR((F81-F83-F85)/(F81-F85),0)</f>
        <v>0.11330300095367714</v>
      </c>
      <c r="J91" s="23"/>
    </row>
  </sheetData>
  <mergeCells count="6">
    <mergeCell ref="A19:F19"/>
    <mergeCell ref="A35:F35"/>
    <mergeCell ref="A46:F46"/>
    <mergeCell ref="A66:F66"/>
    <mergeCell ref="A77:F77"/>
    <mergeCell ref="A55:F55"/>
  </mergeCells>
  <dataValidations count="1">
    <dataValidation type="list" allowBlank="1" showInputMessage="1" showErrorMessage="1" sqref="J14:J19 K16:K19" xr:uid="{D5E3B389-83A9-4253-927E-B1CA17D7E9C4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9AEF-6132-4D99-901F-404C1531A677}">
  <dimension ref="A1:R30"/>
  <sheetViews>
    <sheetView showGridLines="0" workbookViewId="0">
      <selection activeCell="F14" sqref="F14"/>
    </sheetView>
  </sheetViews>
  <sheetFormatPr defaultColWidth="9" defaultRowHeight="14.4" x14ac:dyDescent="0.3"/>
  <cols>
    <col min="1" max="1" width="33.109375" bestFit="1" customWidth="1"/>
    <col min="2" max="2" width="15.44140625" bestFit="1" customWidth="1"/>
    <col min="3" max="3" width="15.88671875" customWidth="1"/>
    <col min="7" max="7" width="13.33203125" bestFit="1" customWidth="1"/>
    <col min="8" max="11" width="11.44140625" bestFit="1" customWidth="1"/>
    <col min="12" max="12" width="13.109375" bestFit="1" customWidth="1"/>
    <col min="15" max="15" width="18.44140625" bestFit="1" customWidth="1"/>
    <col min="16" max="16" width="14.77734375" style="72" bestFit="1" customWidth="1"/>
    <col min="17" max="17" width="1.77734375" customWidth="1"/>
  </cols>
  <sheetData>
    <row r="1" spans="1:18" ht="15.6" x14ac:dyDescent="0.3">
      <c r="A1" s="2" t="s">
        <v>52</v>
      </c>
      <c r="B1" s="3" t="s">
        <v>32</v>
      </c>
      <c r="C1" s="2" t="s">
        <v>68</v>
      </c>
      <c r="G1" s="4"/>
      <c r="H1" s="15" t="s">
        <v>3</v>
      </c>
      <c r="I1" s="16" t="s">
        <v>4</v>
      </c>
      <c r="J1" s="16" t="s">
        <v>5</v>
      </c>
      <c r="K1" s="16" t="s">
        <v>6</v>
      </c>
      <c r="L1" s="16" t="s">
        <v>20</v>
      </c>
    </row>
    <row r="2" spans="1:18" ht="15.6" x14ac:dyDescent="0.3">
      <c r="A2" s="4" t="s">
        <v>25</v>
      </c>
      <c r="B2" s="5">
        <v>2</v>
      </c>
      <c r="C2" s="69">
        <v>50000</v>
      </c>
      <c r="G2" s="4"/>
      <c r="H2" s="5"/>
      <c r="I2" s="5"/>
      <c r="J2" s="5"/>
      <c r="K2" s="5"/>
      <c r="L2" s="4"/>
      <c r="O2" s="181" t="s">
        <v>156</v>
      </c>
      <c r="P2" s="189" t="s">
        <v>155</v>
      </c>
      <c r="R2" s="73" t="s">
        <v>91</v>
      </c>
    </row>
    <row r="3" spans="1:18" x14ac:dyDescent="0.3">
      <c r="A3" s="4" t="s">
        <v>26</v>
      </c>
      <c r="B3" s="5">
        <v>1</v>
      </c>
      <c r="C3" s="69">
        <v>75000</v>
      </c>
      <c r="G3" s="2" t="s">
        <v>8</v>
      </c>
      <c r="H3" s="6">
        <v>20</v>
      </c>
      <c r="I3" s="6">
        <v>30</v>
      </c>
      <c r="J3" s="6">
        <v>500</v>
      </c>
      <c r="K3" s="6">
        <v>45</v>
      </c>
      <c r="L3" s="4"/>
      <c r="O3" s="184" t="s">
        <v>89</v>
      </c>
      <c r="P3" s="215">
        <v>1200</v>
      </c>
      <c r="R3" s="172">
        <v>5</v>
      </c>
    </row>
    <row r="4" spans="1:18" x14ac:dyDescent="0.3">
      <c r="A4" s="4" t="s">
        <v>29</v>
      </c>
      <c r="B4" s="5">
        <v>2</v>
      </c>
      <c r="C4" s="69">
        <v>80000</v>
      </c>
      <c r="G4" s="2" t="s">
        <v>64</v>
      </c>
      <c r="H4" s="93">
        <v>4000</v>
      </c>
      <c r="I4" s="93">
        <v>6000</v>
      </c>
      <c r="J4" s="93">
        <v>700</v>
      </c>
      <c r="K4" s="93">
        <v>5000</v>
      </c>
      <c r="L4" s="92">
        <f>SUM(H4:K4)</f>
        <v>15700</v>
      </c>
      <c r="O4" s="186" t="s">
        <v>69</v>
      </c>
      <c r="P4" s="216">
        <v>1000</v>
      </c>
      <c r="R4" s="172">
        <v>10</v>
      </c>
    </row>
    <row r="5" spans="1:18" x14ac:dyDescent="0.3">
      <c r="A5" s="4" t="s">
        <v>27</v>
      </c>
      <c r="B5" s="5">
        <v>1</v>
      </c>
      <c r="C5" s="69">
        <v>65000</v>
      </c>
      <c r="G5" s="2" t="s">
        <v>13</v>
      </c>
      <c r="H5" s="46">
        <v>0.12</v>
      </c>
      <c r="I5" s="47">
        <v>7.0000000000000007E-2</v>
      </c>
      <c r="J5" s="46">
        <v>0.25</v>
      </c>
      <c r="K5" s="46">
        <v>0.17</v>
      </c>
      <c r="L5" s="7"/>
    </row>
    <row r="6" spans="1:18" x14ac:dyDescent="0.3">
      <c r="A6" s="4" t="s">
        <v>145</v>
      </c>
      <c r="B6" s="5">
        <v>2</v>
      </c>
      <c r="C6" s="69">
        <v>80000</v>
      </c>
      <c r="G6" s="2" t="s">
        <v>70</v>
      </c>
      <c r="H6" s="47">
        <v>0.02</v>
      </c>
      <c r="I6" s="47">
        <v>1.4999999999999999E-2</v>
      </c>
      <c r="J6" s="47">
        <v>0</v>
      </c>
      <c r="K6" s="47">
        <v>0.01</v>
      </c>
      <c r="L6" s="7"/>
    </row>
    <row r="7" spans="1:18" x14ac:dyDescent="0.3">
      <c r="A7" s="4" t="s">
        <v>28</v>
      </c>
      <c r="B7" s="5">
        <v>0</v>
      </c>
      <c r="C7" s="69">
        <v>45000</v>
      </c>
      <c r="G7" s="2" t="s">
        <v>129</v>
      </c>
      <c r="H7" s="47">
        <f>70%/12</f>
        <v>5.8333333333333327E-2</v>
      </c>
      <c r="I7" s="47">
        <f>10%/12</f>
        <v>8.3333333333333332E-3</v>
      </c>
      <c r="J7" s="47">
        <f>16%/12</f>
        <v>1.3333333333333334E-2</v>
      </c>
      <c r="K7" s="47">
        <f>13%/12</f>
        <v>1.0833333333333334E-2</v>
      </c>
      <c r="L7" s="7"/>
    </row>
    <row r="8" spans="1:18" x14ac:dyDescent="0.3">
      <c r="A8" s="4"/>
      <c r="B8" s="2" t="s">
        <v>54</v>
      </c>
      <c r="C8" s="83">
        <f>SUM(C2:C7)</f>
        <v>395000</v>
      </c>
    </row>
    <row r="9" spans="1:18" x14ac:dyDescent="0.3">
      <c r="G9" s="2" t="s">
        <v>9</v>
      </c>
      <c r="H9" s="71">
        <f>H4*H3</f>
        <v>80000</v>
      </c>
      <c r="I9" s="71">
        <f t="shared" ref="I9:K9" si="0">I4*I3</f>
        <v>180000</v>
      </c>
      <c r="J9" s="71">
        <f t="shared" si="0"/>
        <v>350000</v>
      </c>
      <c r="K9" s="71">
        <f t="shared" si="0"/>
        <v>225000</v>
      </c>
      <c r="L9" s="74">
        <f>SUM(H9:K9)</f>
        <v>835000</v>
      </c>
      <c r="O9" s="174" t="s">
        <v>93</v>
      </c>
      <c r="P9" s="174" t="s">
        <v>24</v>
      </c>
    </row>
    <row r="10" spans="1:18" x14ac:dyDescent="0.3">
      <c r="L10" s="71"/>
      <c r="O10" s="172">
        <v>0</v>
      </c>
      <c r="P10" s="172">
        <v>6</v>
      </c>
    </row>
    <row r="11" spans="1:18" x14ac:dyDescent="0.3">
      <c r="A11" s="181" t="s">
        <v>138</v>
      </c>
      <c r="B11" s="189" t="s">
        <v>68</v>
      </c>
      <c r="F11" s="234" t="s">
        <v>21</v>
      </c>
      <c r="G11" s="234"/>
      <c r="H11" s="234"/>
      <c r="I11" s="234"/>
      <c r="J11" s="234"/>
      <c r="K11" s="234"/>
      <c r="L11" s="234"/>
      <c r="O11" s="172">
        <v>1</v>
      </c>
      <c r="P11" s="172">
        <v>5</v>
      </c>
    </row>
    <row r="12" spans="1:18" ht="15.6" x14ac:dyDescent="0.3">
      <c r="A12" s="184" t="s">
        <v>139</v>
      </c>
      <c r="B12" s="191">
        <v>120</v>
      </c>
      <c r="F12" s="2" t="s">
        <v>105</v>
      </c>
      <c r="G12" s="2" t="s">
        <v>104</v>
      </c>
      <c r="H12" s="15" t="s">
        <v>3</v>
      </c>
      <c r="I12" s="16" t="s">
        <v>4</v>
      </c>
      <c r="J12" s="16" t="s">
        <v>5</v>
      </c>
      <c r="K12" s="16" t="s">
        <v>6</v>
      </c>
      <c r="L12" s="16" t="s">
        <v>20</v>
      </c>
      <c r="O12" s="172">
        <v>2</v>
      </c>
      <c r="P12" s="172">
        <v>4</v>
      </c>
    </row>
    <row r="13" spans="1:18" x14ac:dyDescent="0.3">
      <c r="A13" s="184" t="s">
        <v>141</v>
      </c>
      <c r="B13" s="191">
        <v>80</v>
      </c>
      <c r="E13" s="95">
        <v>0.5</v>
      </c>
      <c r="F13" s="95">
        <v>0.5</v>
      </c>
      <c r="G13" s="4" t="s">
        <v>49</v>
      </c>
      <c r="H13" s="93">
        <f>H$4*$F13</f>
        <v>2000</v>
      </c>
      <c r="I13" s="93">
        <f t="shared" ref="I13:K13" si="1">I$4*$F13</f>
        <v>3000</v>
      </c>
      <c r="J13" s="93">
        <f t="shared" si="1"/>
        <v>350</v>
      </c>
      <c r="K13" s="93">
        <f t="shared" si="1"/>
        <v>2500</v>
      </c>
      <c r="L13" s="94">
        <f>SUM(H13:K13)</f>
        <v>7850</v>
      </c>
      <c r="O13" s="172">
        <v>3</v>
      </c>
      <c r="P13" s="172">
        <v>3</v>
      </c>
    </row>
    <row r="14" spans="1:18" x14ac:dyDescent="0.3">
      <c r="A14" s="184" t="s">
        <v>140</v>
      </c>
      <c r="B14" s="191">
        <v>500</v>
      </c>
      <c r="E14" s="95">
        <v>0.2</v>
      </c>
      <c r="F14" s="95">
        <v>0.2</v>
      </c>
      <c r="G14" s="4" t="s">
        <v>50</v>
      </c>
      <c r="H14" s="93">
        <f t="shared" ref="H14:K14" si="2">H$4*$F14</f>
        <v>800</v>
      </c>
      <c r="I14" s="93">
        <f t="shared" si="2"/>
        <v>1200</v>
      </c>
      <c r="J14" s="93">
        <f t="shared" si="2"/>
        <v>140</v>
      </c>
      <c r="K14" s="93">
        <f t="shared" si="2"/>
        <v>1000</v>
      </c>
      <c r="L14" s="94">
        <f t="shared" ref="L14" si="3">SUM(H14:K14)</f>
        <v>3140</v>
      </c>
      <c r="O14" s="172">
        <v>4</v>
      </c>
      <c r="P14" s="172">
        <v>2</v>
      </c>
    </row>
    <row r="15" spans="1:18" x14ac:dyDescent="0.3">
      <c r="A15" s="184" t="s">
        <v>142</v>
      </c>
      <c r="B15" s="191">
        <v>500</v>
      </c>
      <c r="E15" s="95">
        <v>0.3</v>
      </c>
      <c r="F15" s="95">
        <v>0.3</v>
      </c>
      <c r="G15" s="4" t="s">
        <v>51</v>
      </c>
      <c r="H15" s="93">
        <f>H$4*$F15</f>
        <v>1200</v>
      </c>
      <c r="I15" s="93">
        <f>I$4*$F15</f>
        <v>1800</v>
      </c>
      <c r="J15" s="93">
        <f>J$4*$F15</f>
        <v>210</v>
      </c>
      <c r="K15" s="93">
        <f>K$4*$F15</f>
        <v>1500</v>
      </c>
      <c r="L15" s="94">
        <f>SUM(H15:K15)</f>
        <v>4710</v>
      </c>
      <c r="O15" s="172">
        <v>5</v>
      </c>
      <c r="P15" s="172">
        <v>1</v>
      </c>
    </row>
    <row r="16" spans="1:18" x14ac:dyDescent="0.3">
      <c r="A16" s="213" t="s">
        <v>20</v>
      </c>
      <c r="B16" s="214">
        <f>SUM(B12:B15)</f>
        <v>1200</v>
      </c>
      <c r="F16" s="80">
        <f>SUM(F13:F15)</f>
        <v>1</v>
      </c>
      <c r="G16" s="2" t="s">
        <v>20</v>
      </c>
      <c r="H16" s="94">
        <f>SUM(H13:H15)</f>
        <v>4000</v>
      </c>
      <c r="I16" s="94">
        <f>SUM(I13:I15)</f>
        <v>6000</v>
      </c>
      <c r="J16" s="94">
        <f>SUM(J13:J15)</f>
        <v>700</v>
      </c>
      <c r="K16" s="94">
        <f>SUM(K13:K15)</f>
        <v>5000</v>
      </c>
      <c r="L16" s="94">
        <f>SUM(L13:L15)</f>
        <v>15700</v>
      </c>
    </row>
    <row r="19" spans="1:15" x14ac:dyDescent="0.3">
      <c r="E19" s="95"/>
      <c r="F19" s="95">
        <v>0.1</v>
      </c>
      <c r="G19" s="4" t="s">
        <v>103</v>
      </c>
      <c r="H19" s="93">
        <f>H$4*$F19</f>
        <v>400</v>
      </c>
      <c r="I19" s="93">
        <f>I$4*$F19</f>
        <v>600</v>
      </c>
      <c r="J19" s="93">
        <f>J$4*$F19</f>
        <v>70</v>
      </c>
      <c r="K19" s="93">
        <f>K$4*$F19</f>
        <v>500</v>
      </c>
      <c r="L19" s="94">
        <f>SUM(H19:K19)</f>
        <v>1570</v>
      </c>
    </row>
    <row r="20" spans="1:15" x14ac:dyDescent="0.3">
      <c r="O20" t="s">
        <v>161</v>
      </c>
    </row>
    <row r="21" spans="1:15" x14ac:dyDescent="0.3">
      <c r="A21" s="2" t="s">
        <v>95</v>
      </c>
      <c r="B21" s="83">
        <v>700000</v>
      </c>
      <c r="H21" s="71"/>
      <c r="I21" s="71"/>
      <c r="J21" s="71"/>
      <c r="K21" s="71"/>
      <c r="L21" s="71"/>
      <c r="O21" t="s">
        <v>162</v>
      </c>
    </row>
    <row r="22" spans="1:15" x14ac:dyDescent="0.3">
      <c r="L22" s="71"/>
      <c r="O22" t="s">
        <v>163</v>
      </c>
    </row>
    <row r="23" spans="1:15" x14ac:dyDescent="0.3">
      <c r="A23" s="2" t="s">
        <v>144</v>
      </c>
      <c r="B23" s="86">
        <v>0.12</v>
      </c>
      <c r="O23" t="s">
        <v>164</v>
      </c>
    </row>
    <row r="24" spans="1:15" x14ac:dyDescent="0.3">
      <c r="O24" t="s">
        <v>165</v>
      </c>
    </row>
    <row r="25" spans="1:15" x14ac:dyDescent="0.3">
      <c r="A25" s="2" t="s">
        <v>86</v>
      </c>
      <c r="B25" s="83">
        <v>400</v>
      </c>
      <c r="O25" t="s">
        <v>166</v>
      </c>
    </row>
    <row r="26" spans="1:15" x14ac:dyDescent="0.3">
      <c r="O26" t="s">
        <v>167</v>
      </c>
    </row>
    <row r="27" spans="1:15" x14ac:dyDescent="0.3">
      <c r="O27" t="s">
        <v>168</v>
      </c>
    </row>
    <row r="28" spans="1:15" x14ac:dyDescent="0.3">
      <c r="O28" t="s">
        <v>169</v>
      </c>
    </row>
    <row r="29" spans="1:15" x14ac:dyDescent="0.3">
      <c r="O29" t="s">
        <v>170</v>
      </c>
    </row>
    <row r="30" spans="1:15" x14ac:dyDescent="0.3">
      <c r="O30" t="s">
        <v>171</v>
      </c>
    </row>
  </sheetData>
  <mergeCells count="1">
    <mergeCell ref="F11:L11"/>
  </mergeCell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9DD7-975A-45FC-84DA-4128F8427364}">
  <dimension ref="B1:J96"/>
  <sheetViews>
    <sheetView showGridLines="0" zoomScale="70" zoomScaleNormal="70" workbookViewId="0">
      <pane ySplit="1" topLeftCell="A2" activePane="bottomLeft" state="frozen"/>
      <selection pane="bottomLeft" activeCell="G97" sqref="G97"/>
    </sheetView>
  </sheetViews>
  <sheetFormatPr defaultRowHeight="23.4" outlineLevelRow="1" x14ac:dyDescent="0.45"/>
  <cols>
    <col min="1" max="1" width="8.88671875" style="63"/>
    <col min="2" max="2" width="42.6640625" style="63" bestFit="1" customWidth="1"/>
    <col min="3" max="3" width="23.33203125" style="63" customWidth="1"/>
    <col min="4" max="4" width="18.5546875" style="63" customWidth="1"/>
    <col min="5" max="5" width="24.6640625" style="63" customWidth="1"/>
    <col min="6" max="6" width="20.77734375" style="63" customWidth="1"/>
    <col min="7" max="7" width="26.6640625" style="63" customWidth="1"/>
    <col min="8" max="8" width="20.77734375" style="63" customWidth="1"/>
    <col min="9" max="9" width="21.6640625" style="63" customWidth="1"/>
    <col min="10" max="10" width="20.77734375" style="63" customWidth="1"/>
    <col min="11" max="16384" width="8.88671875" style="63"/>
  </cols>
  <sheetData>
    <row r="1" spans="2:10" x14ac:dyDescent="0.45">
      <c r="C1" s="242" t="s">
        <v>1</v>
      </c>
      <c r="D1" s="242"/>
      <c r="E1" s="243" t="s">
        <v>0</v>
      </c>
      <c r="F1" s="243"/>
      <c r="G1" s="242" t="s">
        <v>2</v>
      </c>
      <c r="H1" s="242"/>
      <c r="I1" s="244" t="s">
        <v>107</v>
      </c>
      <c r="J1" s="244"/>
    </row>
    <row r="2" spans="2:10" x14ac:dyDescent="0.45">
      <c r="B2" s="170" t="s">
        <v>109</v>
      </c>
      <c r="C2" s="116"/>
      <c r="D2" s="116"/>
      <c r="E2" s="119"/>
      <c r="F2" s="119"/>
      <c r="G2" s="75"/>
      <c r="H2" s="75"/>
      <c r="I2" s="121"/>
      <c r="J2" s="121"/>
    </row>
    <row r="3" spans="2:10" hidden="1" outlineLevel="1" x14ac:dyDescent="0.45">
      <c r="B3" s="76" t="s">
        <v>109</v>
      </c>
      <c r="C3" s="245">
        <f>'Dados de apoio'!B21</f>
        <v>700000</v>
      </c>
      <c r="D3" s="245"/>
      <c r="E3" s="237">
        <f>'Dados de apoio'!B21</f>
        <v>700000</v>
      </c>
      <c r="F3" s="237"/>
      <c r="G3" s="247">
        <f>E3</f>
        <v>700000</v>
      </c>
      <c r="H3" s="247"/>
      <c r="I3" s="237">
        <f>G3</f>
        <v>700000</v>
      </c>
      <c r="J3" s="237"/>
    </row>
    <row r="4" spans="2:10" hidden="1" outlineLevel="1" x14ac:dyDescent="0.45">
      <c r="B4" s="123" t="s">
        <v>110</v>
      </c>
      <c r="C4" s="235">
        <f>Bretas!N2</f>
        <v>-334120</v>
      </c>
      <c r="D4" s="235"/>
      <c r="E4" s="246">
        <f>GBarbosa!N2</f>
        <v>-214600</v>
      </c>
      <c r="F4" s="246"/>
      <c r="G4" s="235">
        <f>Prezunic!N2</f>
        <v>-305000</v>
      </c>
      <c r="H4" s="235"/>
      <c r="I4" s="238">
        <f>Giga!N2</f>
        <v>-258185</v>
      </c>
      <c r="J4" s="238"/>
    </row>
    <row r="5" spans="2:10" hidden="1" outlineLevel="1" x14ac:dyDescent="0.45">
      <c r="B5" s="123" t="s">
        <v>111</v>
      </c>
      <c r="C5" s="235">
        <f>Bretas!N3</f>
        <v>-320000</v>
      </c>
      <c r="D5" s="235"/>
      <c r="E5" s="246">
        <f>GBarbosa!N3</f>
        <v>-395000</v>
      </c>
      <c r="F5" s="246"/>
      <c r="G5" s="235">
        <f>Prezunic!N3</f>
        <v>-395000</v>
      </c>
      <c r="H5" s="235"/>
      <c r="I5" s="238">
        <f>Giga!N3</f>
        <v>-350000</v>
      </c>
      <c r="J5" s="238"/>
    </row>
    <row r="6" spans="2:10" hidden="1" outlineLevel="1" x14ac:dyDescent="0.45">
      <c r="B6" s="76" t="s">
        <v>112</v>
      </c>
      <c r="C6" s="236">
        <f>SUM(C3:C5)</f>
        <v>45880</v>
      </c>
      <c r="D6" s="236"/>
      <c r="E6" s="239">
        <f>SUM(E3:E5)</f>
        <v>90400</v>
      </c>
      <c r="F6" s="239"/>
      <c r="G6" s="236">
        <f>SUM(G3:G5)</f>
        <v>0</v>
      </c>
      <c r="H6" s="236"/>
      <c r="I6" s="239">
        <f>SUM(I3:I5)</f>
        <v>91815</v>
      </c>
      <c r="J6" s="239"/>
    </row>
    <row r="7" spans="2:10" ht="24" collapsed="1" thickBot="1" x14ac:dyDescent="0.5">
      <c r="B7" s="163"/>
      <c r="C7" s="166"/>
      <c r="D7" s="166"/>
      <c r="E7" s="166"/>
      <c r="F7" s="166"/>
      <c r="G7" s="171"/>
    </row>
    <row r="8" spans="2:10" x14ac:dyDescent="0.45">
      <c r="B8" s="122" t="s">
        <v>117</v>
      </c>
      <c r="C8" s="166"/>
      <c r="D8" s="166"/>
      <c r="E8" s="166"/>
      <c r="F8" s="166"/>
    </row>
    <row r="9" spans="2:10" hidden="1" outlineLevel="1" x14ac:dyDescent="0.45">
      <c r="B9" s="76" t="s">
        <v>114</v>
      </c>
      <c r="C9" s="248">
        <f>Bretas!J10</f>
        <v>0.25</v>
      </c>
      <c r="D9" s="248"/>
      <c r="E9" s="248">
        <f>GBarbosa!J10</f>
        <v>0.24713375796178344</v>
      </c>
      <c r="F9" s="248"/>
      <c r="G9" s="248">
        <f>Prezunic!J10</f>
        <v>0.2</v>
      </c>
      <c r="H9" s="248"/>
      <c r="I9" s="248">
        <f>Giga!J10</f>
        <v>0.24968152866242038</v>
      </c>
      <c r="J9" s="248"/>
    </row>
    <row r="10" spans="2:10" hidden="1" outlineLevel="1" x14ac:dyDescent="0.45">
      <c r="B10" s="76" t="s">
        <v>113</v>
      </c>
      <c r="C10" s="252">
        <f>Bretas!J11</f>
        <v>868.9731359455418</v>
      </c>
      <c r="D10" s="252"/>
      <c r="E10" s="252">
        <f>GBarbosa!J11</f>
        <v>992.90028147781743</v>
      </c>
      <c r="F10" s="252"/>
      <c r="G10" s="249">
        <f>Prezunic!J11</f>
        <v>991.77266249749732</v>
      </c>
      <c r="H10" s="249"/>
      <c r="I10" s="249">
        <f>Giga!J11</f>
        <v>958.256044706686</v>
      </c>
      <c r="J10" s="249"/>
    </row>
    <row r="11" spans="2:10" hidden="1" outlineLevel="1" x14ac:dyDescent="0.45">
      <c r="B11" s="118" t="s">
        <v>115</v>
      </c>
      <c r="C11" s="253">
        <f>Bretas!J5</f>
        <v>0.8</v>
      </c>
      <c r="D11" s="253"/>
      <c r="E11" s="253">
        <f>GBarbosa!J5</f>
        <v>0.42</v>
      </c>
      <c r="F11" s="253"/>
      <c r="G11" s="250">
        <f>Prezunic!J5</f>
        <v>0.2</v>
      </c>
      <c r="H11" s="250"/>
      <c r="I11" s="250">
        <f>Giga!J5</f>
        <v>0.3</v>
      </c>
      <c r="J11" s="250"/>
    </row>
    <row r="12" spans="2:10" hidden="1" outlineLevel="1" x14ac:dyDescent="0.45">
      <c r="B12" s="76" t="s">
        <v>116</v>
      </c>
      <c r="C12" s="251">
        <f>'Rodada 1 de Venda'!E2</f>
        <v>0.41399999999999998</v>
      </c>
      <c r="D12" s="251"/>
      <c r="E12" s="251">
        <f>'Rodada 1 de Venda'!E3</f>
        <v>0.20699999999999999</v>
      </c>
      <c r="F12" s="251"/>
      <c r="G12" s="251">
        <f>'Rodada 1 de Venda'!E4</f>
        <v>0.13800000000000001</v>
      </c>
      <c r="H12" s="251"/>
      <c r="I12" s="251">
        <f>'Rodada 1 de Venda'!E5</f>
        <v>0.24099999999999999</v>
      </c>
      <c r="J12" s="251"/>
    </row>
    <row r="13" spans="2:10" ht="24" collapsed="1" thickBot="1" x14ac:dyDescent="0.5">
      <c r="B13" s="163"/>
      <c r="C13" s="164"/>
      <c r="D13" s="164"/>
      <c r="E13" s="164"/>
      <c r="F13" s="164"/>
      <c r="G13" s="164"/>
      <c r="H13" s="164"/>
      <c r="I13" s="164"/>
      <c r="J13" s="164"/>
    </row>
    <row r="14" spans="2:10" x14ac:dyDescent="0.45">
      <c r="B14" s="122" t="s">
        <v>118</v>
      </c>
      <c r="C14" s="167"/>
      <c r="D14" s="167"/>
      <c r="E14" s="167"/>
      <c r="F14" s="167"/>
      <c r="G14" s="165"/>
      <c r="H14" s="165"/>
      <c r="I14" s="165"/>
      <c r="J14" s="165"/>
    </row>
    <row r="15" spans="2:10" hidden="1" outlineLevel="1" x14ac:dyDescent="0.45">
      <c r="B15" s="76" t="s">
        <v>114</v>
      </c>
      <c r="C15" s="254">
        <f>Bretas!K10</f>
        <v>0.37452229299363055</v>
      </c>
      <c r="D15" s="254"/>
      <c r="E15" s="258">
        <f>GBarbosa!K10</f>
        <v>0.34484076433121019</v>
      </c>
      <c r="F15" s="258"/>
      <c r="G15" s="254">
        <f>Prezunic!K10</f>
        <v>0.58305732484076433</v>
      </c>
      <c r="H15" s="254"/>
      <c r="I15" s="258">
        <f>Giga!K10</f>
        <v>0.43821656050955415</v>
      </c>
      <c r="J15" s="258"/>
    </row>
    <row r="16" spans="2:10" hidden="1" outlineLevel="1" x14ac:dyDescent="0.45">
      <c r="B16" s="76" t="s">
        <v>113</v>
      </c>
      <c r="C16" s="262">
        <f>Bretas!K11</f>
        <v>899.91641051007537</v>
      </c>
      <c r="D16" s="262"/>
      <c r="E16" s="264">
        <f>GBarbosa!K11</f>
        <v>985.6384187777503</v>
      </c>
      <c r="F16" s="264"/>
      <c r="G16" s="255">
        <f>Prezunic!K11</f>
        <v>855.72848579066999</v>
      </c>
      <c r="H16" s="255"/>
      <c r="I16" s="259">
        <f>Giga!K11</f>
        <v>924.92271137335263</v>
      </c>
      <c r="J16" s="259"/>
    </row>
    <row r="17" spans="2:10" hidden="1" outlineLevel="1" x14ac:dyDescent="0.45">
      <c r="B17" s="118" t="s">
        <v>115</v>
      </c>
      <c r="C17" s="263">
        <f>C11</f>
        <v>0.8</v>
      </c>
      <c r="D17" s="263"/>
      <c r="E17" s="265">
        <f>E11</f>
        <v>0.42</v>
      </c>
      <c r="F17" s="265"/>
      <c r="G17" s="256">
        <f>G11</f>
        <v>0.2</v>
      </c>
      <c r="H17" s="256"/>
      <c r="I17" s="260">
        <f>I11</f>
        <v>0.3</v>
      </c>
      <c r="J17" s="260"/>
    </row>
    <row r="18" spans="2:10" hidden="1" outlineLevel="1" x14ac:dyDescent="0.45">
      <c r="B18" s="76" t="s">
        <v>116</v>
      </c>
      <c r="C18" s="257">
        <f>'Demais Rodadas de Venda'!E2</f>
        <v>0.313</v>
      </c>
      <c r="D18" s="257"/>
      <c r="E18" s="261">
        <f>'Demais Rodadas de Venda'!E3</f>
        <v>0.219</v>
      </c>
      <c r="F18" s="261"/>
      <c r="G18" s="257">
        <f>'Demais Rodadas de Venda'!E4</f>
        <v>0.28100000000000003</v>
      </c>
      <c r="H18" s="257"/>
      <c r="I18" s="261">
        <f>'Demais Rodadas de Venda'!E5</f>
        <v>0.188</v>
      </c>
      <c r="J18" s="261"/>
    </row>
    <row r="19" spans="2:10" ht="24" collapsed="1" thickBot="1" x14ac:dyDescent="0.5"/>
    <row r="20" spans="2:10" x14ac:dyDescent="0.45">
      <c r="B20" s="122" t="s">
        <v>78</v>
      </c>
    </row>
    <row r="21" spans="2:10" hidden="1" outlineLevel="1" x14ac:dyDescent="0.45">
      <c r="B21" s="124" t="s">
        <v>119</v>
      </c>
      <c r="C21" s="269">
        <f>Bretas!F36</f>
        <v>3250</v>
      </c>
      <c r="D21" s="269"/>
      <c r="E21" s="270">
        <f>GBarbosa!F36</f>
        <v>1625</v>
      </c>
      <c r="F21" s="270"/>
      <c r="G21" s="271">
        <f>Prezunic!F36</f>
        <v>1083</v>
      </c>
      <c r="H21" s="271"/>
      <c r="I21" s="270">
        <f>Giga!F36</f>
        <v>1892</v>
      </c>
      <c r="J21" s="270"/>
    </row>
    <row r="22" spans="2:10" hidden="1" outlineLevel="1" x14ac:dyDescent="0.45">
      <c r="B22" s="125" t="s">
        <v>30</v>
      </c>
      <c r="C22" s="266">
        <f>Bretas!F37</f>
        <v>0</v>
      </c>
      <c r="D22" s="266"/>
      <c r="E22" s="267">
        <f>GBarbosa!F37</f>
        <v>0</v>
      </c>
      <c r="F22" s="267"/>
      <c r="G22" s="266">
        <f>Prezunic!F37</f>
        <v>0</v>
      </c>
      <c r="H22" s="266"/>
      <c r="I22" s="268">
        <f>Giga!F37</f>
        <v>0</v>
      </c>
      <c r="J22" s="268"/>
    </row>
    <row r="23" spans="2:10" hidden="1" outlineLevel="1" x14ac:dyDescent="0.45">
      <c r="B23" s="125" t="s">
        <v>31</v>
      </c>
      <c r="C23" s="266">
        <f>Bretas!F38</f>
        <v>-55</v>
      </c>
      <c r="D23" s="266"/>
      <c r="E23" s="267">
        <f>GBarbosa!F38</f>
        <v>0</v>
      </c>
      <c r="F23" s="267"/>
      <c r="G23" s="266">
        <f>Prezunic!F38</f>
        <v>0</v>
      </c>
      <c r="H23" s="266"/>
      <c r="I23" s="268">
        <f>Giga!F38</f>
        <v>-64</v>
      </c>
      <c r="J23" s="268"/>
    </row>
    <row r="24" spans="2:10" hidden="1" outlineLevel="1" x14ac:dyDescent="0.45">
      <c r="B24" s="125" t="s">
        <v>45</v>
      </c>
      <c r="C24" s="266">
        <f>Bretas!F39</f>
        <v>0</v>
      </c>
      <c r="D24" s="266"/>
      <c r="E24" s="267">
        <f>GBarbosa!F39</f>
        <v>0</v>
      </c>
      <c r="F24" s="267"/>
      <c r="G24" s="272">
        <f>Prezunic!F39</f>
        <v>0</v>
      </c>
      <c r="H24" s="272"/>
      <c r="I24" s="273">
        <f>Giga!F39</f>
        <v>-34</v>
      </c>
      <c r="J24" s="273"/>
    </row>
    <row r="25" spans="2:10" hidden="1" outlineLevel="1" x14ac:dyDescent="0.45">
      <c r="B25" s="126" t="s">
        <v>23</v>
      </c>
      <c r="C25" s="272">
        <f>SUM(C21:D24)</f>
        <v>3195</v>
      </c>
      <c r="D25" s="272"/>
      <c r="E25" s="273">
        <f>SUM(E21:F24)</f>
        <v>1625</v>
      </c>
      <c r="F25" s="273"/>
      <c r="G25" s="272">
        <f>SUM(G21:H24)</f>
        <v>1083</v>
      </c>
      <c r="H25" s="272"/>
      <c r="I25" s="273">
        <f>SUM(I21:J24)</f>
        <v>1794</v>
      </c>
      <c r="J25" s="273"/>
    </row>
    <row r="26" spans="2:10" hidden="1" outlineLevel="1" x14ac:dyDescent="0.45">
      <c r="B26" s="125"/>
      <c r="C26" s="117"/>
      <c r="D26" s="117"/>
      <c r="E26" s="120"/>
      <c r="F26" s="120"/>
      <c r="G26" s="75"/>
      <c r="H26" s="75"/>
      <c r="I26" s="121"/>
      <c r="J26" s="121"/>
    </row>
    <row r="27" spans="2:10" hidden="1" outlineLevel="1" x14ac:dyDescent="0.45">
      <c r="B27" s="126" t="s">
        <v>22</v>
      </c>
      <c r="C27" s="274">
        <f>Bretas!F42</f>
        <v>235663.4811386308</v>
      </c>
      <c r="D27" s="275"/>
      <c r="E27" s="276">
        <f>GBarbosa!F42</f>
        <v>128782.53153375967</v>
      </c>
      <c r="F27" s="277"/>
      <c r="G27" s="274">
        <f>Prezunic!F42</f>
        <v>85328.137476592587</v>
      </c>
      <c r="H27" s="275"/>
      <c r="I27" s="276">
        <f>Giga!F42</f>
        <v>117225.45018784815</v>
      </c>
      <c r="J27" s="277"/>
    </row>
    <row r="28" spans="2:10" ht="24" collapsed="1" thickBot="1" x14ac:dyDescent="0.5"/>
    <row r="29" spans="2:10" x14ac:dyDescent="0.45">
      <c r="B29" s="122" t="s">
        <v>76</v>
      </c>
    </row>
    <row r="30" spans="2:10" hidden="1" outlineLevel="1" x14ac:dyDescent="0.45">
      <c r="B30" s="124" t="s">
        <v>119</v>
      </c>
      <c r="C30" s="269">
        <f>Bretas!F47</f>
        <v>983</v>
      </c>
      <c r="D30" s="269"/>
      <c r="E30" s="270">
        <f>GBarbosa!F47</f>
        <v>688</v>
      </c>
      <c r="F30" s="270"/>
      <c r="G30" s="271">
        <f>Prezunic!F47</f>
        <v>882</v>
      </c>
      <c r="H30" s="271"/>
      <c r="I30" s="270">
        <f>Giga!F47</f>
        <v>587</v>
      </c>
      <c r="J30" s="270"/>
    </row>
    <row r="31" spans="2:10" hidden="1" outlineLevel="1" x14ac:dyDescent="0.45">
      <c r="B31" s="125" t="s">
        <v>33</v>
      </c>
      <c r="C31" s="266">
        <f>Bretas!F48</f>
        <v>0</v>
      </c>
      <c r="D31" s="266"/>
      <c r="E31" s="267">
        <f>GBarbosa!F48</f>
        <v>0</v>
      </c>
      <c r="F31" s="267"/>
      <c r="G31" s="266">
        <f>Prezunic!F48</f>
        <v>0</v>
      </c>
      <c r="H31" s="266"/>
      <c r="I31" s="268">
        <f>Giga!F48</f>
        <v>0</v>
      </c>
      <c r="J31" s="268"/>
    </row>
    <row r="32" spans="2:10" hidden="1" outlineLevel="1" x14ac:dyDescent="0.45">
      <c r="B32" s="125" t="s">
        <v>34</v>
      </c>
      <c r="C32" s="266">
        <f>Bretas!F49</f>
        <v>0</v>
      </c>
      <c r="D32" s="266"/>
      <c r="E32" s="267">
        <f>GBarbosa!F49</f>
        <v>0</v>
      </c>
      <c r="F32" s="267"/>
      <c r="G32" s="266">
        <f>Prezunic!F49</f>
        <v>0</v>
      </c>
      <c r="H32" s="266"/>
      <c r="I32" s="268">
        <f>Giga!F49</f>
        <v>0</v>
      </c>
      <c r="J32" s="268"/>
    </row>
    <row r="33" spans="2:10" hidden="1" outlineLevel="1" x14ac:dyDescent="0.45">
      <c r="B33" s="125" t="s">
        <v>45</v>
      </c>
      <c r="C33" s="266">
        <f>Bretas!F50</f>
        <v>0</v>
      </c>
      <c r="D33" s="266"/>
      <c r="E33" s="267">
        <f>GBarbosa!F50</f>
        <v>0</v>
      </c>
      <c r="F33" s="267"/>
      <c r="G33" s="272">
        <f>Prezunic!F50</f>
        <v>0</v>
      </c>
      <c r="H33" s="272"/>
      <c r="I33" s="273">
        <f>Giga!F50</f>
        <v>0</v>
      </c>
      <c r="J33" s="273"/>
    </row>
    <row r="34" spans="2:10" hidden="1" outlineLevel="1" x14ac:dyDescent="0.45">
      <c r="B34" s="126" t="s">
        <v>23</v>
      </c>
      <c r="C34" s="272">
        <f>SUM(C30:D33)</f>
        <v>983</v>
      </c>
      <c r="D34" s="272"/>
      <c r="E34" s="273">
        <f>SUM(E30:F33)</f>
        <v>688</v>
      </c>
      <c r="F34" s="273"/>
      <c r="G34" s="272">
        <f>SUM(G30:H33)</f>
        <v>882</v>
      </c>
      <c r="H34" s="272"/>
      <c r="I34" s="273">
        <f>SUM(I30:J33)</f>
        <v>587</v>
      </c>
      <c r="J34" s="273"/>
    </row>
    <row r="35" spans="2:10" hidden="1" outlineLevel="1" x14ac:dyDescent="0.45">
      <c r="B35" s="125"/>
      <c r="C35" s="117"/>
      <c r="D35" s="117"/>
      <c r="E35" s="120"/>
      <c r="F35" s="120"/>
      <c r="G35" s="75"/>
      <c r="H35" s="75"/>
      <c r="I35" s="121"/>
      <c r="J35" s="121"/>
    </row>
    <row r="36" spans="2:10" hidden="1" outlineLevel="1" x14ac:dyDescent="0.45">
      <c r="B36" s="126" t="s">
        <v>22</v>
      </c>
      <c r="C36" s="274">
        <f>Bretas!F53</f>
        <v>76191.053009692725</v>
      </c>
      <c r="D36" s="275"/>
      <c r="E36" s="276">
        <f>GBarbosa!F53</f>
        <v>53295.996508026241</v>
      </c>
      <c r="F36" s="277"/>
      <c r="G36" s="274">
        <f>Prezunic!F53</f>
        <v>63452.861887432431</v>
      </c>
      <c r="H36" s="275"/>
      <c r="I36" s="276">
        <f>Giga!F53</f>
        <v>44709.850545878522</v>
      </c>
      <c r="J36" s="277"/>
    </row>
    <row r="37" spans="2:10" ht="24" collapsed="1" thickBot="1" x14ac:dyDescent="0.5">
      <c r="B37" s="128"/>
      <c r="C37" s="129"/>
      <c r="D37" s="130"/>
      <c r="E37" s="129"/>
      <c r="F37" s="130"/>
      <c r="G37" s="129"/>
      <c r="H37" s="130"/>
      <c r="I37" s="129"/>
      <c r="J37" s="130"/>
    </row>
    <row r="38" spans="2:10" x14ac:dyDescent="0.45">
      <c r="B38" s="122" t="s">
        <v>37</v>
      </c>
    </row>
    <row r="39" spans="2:10" hidden="1" outlineLevel="1" x14ac:dyDescent="0.45">
      <c r="B39" s="124" t="s">
        <v>120</v>
      </c>
      <c r="C39" s="269">
        <f>Bretas!F56</f>
        <v>320</v>
      </c>
      <c r="D39" s="269"/>
      <c r="E39" s="270">
        <f>GBarbosa!F56</f>
        <v>900</v>
      </c>
      <c r="F39" s="270"/>
      <c r="G39" s="271">
        <f>Prezunic!F56</f>
        <v>0</v>
      </c>
      <c r="H39" s="271"/>
      <c r="I39" s="270">
        <f>Giga!F56</f>
        <v>670</v>
      </c>
      <c r="J39" s="270"/>
    </row>
    <row r="40" spans="2:10" hidden="1" outlineLevel="1" x14ac:dyDescent="0.45">
      <c r="B40" s="125" t="s">
        <v>45</v>
      </c>
      <c r="C40" s="266">
        <f>Bretas!F57</f>
        <v>0</v>
      </c>
      <c r="D40" s="266"/>
      <c r="E40" s="267">
        <f>GBarbosa!F57</f>
        <v>0</v>
      </c>
      <c r="F40" s="267"/>
      <c r="G40" s="272">
        <f>Prezunic!F57</f>
        <v>0</v>
      </c>
      <c r="H40" s="272"/>
      <c r="I40" s="273">
        <f>Giga!F57</f>
        <v>0</v>
      </c>
      <c r="J40" s="273"/>
    </row>
    <row r="41" spans="2:10" hidden="1" outlineLevel="1" x14ac:dyDescent="0.45">
      <c r="B41" s="126" t="s">
        <v>23</v>
      </c>
      <c r="C41" s="272">
        <f>SUM(C39:D40)</f>
        <v>320</v>
      </c>
      <c r="D41" s="272"/>
      <c r="E41" s="278">
        <f>SUM(E39:F40)</f>
        <v>900</v>
      </c>
      <c r="F41" s="278"/>
      <c r="G41" s="272">
        <f>SUM(G39:H40)</f>
        <v>0</v>
      </c>
      <c r="H41" s="272"/>
      <c r="I41" s="278">
        <f>SUM(I39:J40)</f>
        <v>670</v>
      </c>
      <c r="J41" s="278"/>
    </row>
    <row r="42" spans="2:10" hidden="1" outlineLevel="1" x14ac:dyDescent="0.45">
      <c r="B42" s="125"/>
      <c r="C42" s="117"/>
      <c r="D42" s="117"/>
      <c r="E42" s="120"/>
      <c r="F42" s="120"/>
      <c r="G42" s="75"/>
      <c r="H42" s="75"/>
      <c r="I42" s="121"/>
      <c r="J42" s="121"/>
    </row>
    <row r="43" spans="2:10" hidden="1" outlineLevel="1" x14ac:dyDescent="0.45">
      <c r="B43" s="126" t="s">
        <v>22</v>
      </c>
      <c r="C43" s="274">
        <f>Bretas!F60</f>
        <v>3200</v>
      </c>
      <c r="D43" s="275"/>
      <c r="E43" s="276">
        <f>GBarbosa!F60</f>
        <v>18000</v>
      </c>
      <c r="F43" s="277"/>
      <c r="G43" s="274">
        <f>Prezunic!F60</f>
        <v>0</v>
      </c>
      <c r="H43" s="275"/>
      <c r="I43" s="276">
        <f>Giga!F60</f>
        <v>53600</v>
      </c>
      <c r="J43" s="277"/>
    </row>
    <row r="44" spans="2:10" ht="24" collapsed="1" thickBot="1" x14ac:dyDescent="0.5"/>
    <row r="45" spans="2:10" x14ac:dyDescent="0.45">
      <c r="B45" s="122" t="s">
        <v>77</v>
      </c>
    </row>
    <row r="46" spans="2:10" hidden="1" outlineLevel="1" x14ac:dyDescent="0.45">
      <c r="B46" s="124" t="s">
        <v>119</v>
      </c>
      <c r="C46" s="269">
        <f>Bretas!F67</f>
        <v>1475</v>
      </c>
      <c r="D46" s="269"/>
      <c r="E46" s="270">
        <f>GBarbosa!F67</f>
        <v>1032</v>
      </c>
      <c r="F46" s="270"/>
      <c r="G46" s="271">
        <f>Prezunic!F67</f>
        <v>1324</v>
      </c>
      <c r="H46" s="271"/>
      <c r="I46" s="270">
        <f>Giga!F67</f>
        <v>879</v>
      </c>
      <c r="J46" s="270"/>
    </row>
    <row r="47" spans="2:10" hidden="1" outlineLevel="1" x14ac:dyDescent="0.45">
      <c r="B47" s="125" t="s">
        <v>35</v>
      </c>
      <c r="C47" s="266">
        <f>Bretas!F68</f>
        <v>0</v>
      </c>
      <c r="D47" s="266"/>
      <c r="E47" s="267">
        <f>GBarbosa!F68</f>
        <v>0</v>
      </c>
      <c r="F47" s="267"/>
      <c r="G47" s="266">
        <f>Prezunic!F68</f>
        <v>0</v>
      </c>
      <c r="H47" s="266"/>
      <c r="I47" s="268">
        <f>Giga!F68</f>
        <v>0</v>
      </c>
      <c r="J47" s="268"/>
    </row>
    <row r="48" spans="2:10" hidden="1" outlineLevel="1" x14ac:dyDescent="0.45">
      <c r="B48" s="125" t="s">
        <v>45</v>
      </c>
      <c r="C48" s="266">
        <f>Bretas!F69</f>
        <v>-319</v>
      </c>
      <c r="D48" s="266"/>
      <c r="E48" s="267">
        <f>GBarbosa!F69</f>
        <v>-54</v>
      </c>
      <c r="F48" s="267"/>
      <c r="G48" s="266">
        <f>Prezunic!F69</f>
        <v>0</v>
      </c>
      <c r="H48" s="266"/>
      <c r="I48" s="268">
        <f>Giga!F69</f>
        <v>0</v>
      </c>
      <c r="J48" s="268"/>
    </row>
    <row r="49" spans="2:10" hidden="1" outlineLevel="1" x14ac:dyDescent="0.45">
      <c r="B49" s="126" t="s">
        <v>23</v>
      </c>
      <c r="C49" s="272">
        <f>SUM(C46:D48)</f>
        <v>1156</v>
      </c>
      <c r="D49" s="272"/>
      <c r="E49" s="273">
        <f>SUM(E46:F48)</f>
        <v>978</v>
      </c>
      <c r="F49" s="273"/>
      <c r="G49" s="272">
        <f>SUM(G46:H48)</f>
        <v>1324</v>
      </c>
      <c r="H49" s="272"/>
      <c r="I49" s="273">
        <f>SUM(I46:J48)</f>
        <v>879</v>
      </c>
      <c r="J49" s="273"/>
    </row>
    <row r="50" spans="2:10" hidden="1" outlineLevel="1" x14ac:dyDescent="0.45">
      <c r="B50" s="125"/>
      <c r="C50" s="117"/>
      <c r="D50" s="117"/>
      <c r="E50" s="120"/>
      <c r="F50" s="120"/>
      <c r="G50" s="75"/>
      <c r="H50" s="75"/>
      <c r="I50" s="121"/>
      <c r="J50" s="121"/>
    </row>
    <row r="51" spans="2:10" hidden="1" outlineLevel="1" x14ac:dyDescent="0.45">
      <c r="B51" s="126" t="s">
        <v>22</v>
      </c>
      <c r="C51" s="274">
        <f>Bretas!F72</f>
        <v>105244.4250609476</v>
      </c>
      <c r="D51" s="275"/>
      <c r="E51" s="276">
        <f>GBarbosa!F72</f>
        <v>77042.028377439376</v>
      </c>
      <c r="F51" s="277"/>
      <c r="G51" s="274">
        <f>Prezunic!F72</f>
        <v>95579.884346771258</v>
      </c>
      <c r="H51" s="275"/>
      <c r="I51" s="276">
        <f>Giga!F72</f>
        <v>66986.097763487967</v>
      </c>
      <c r="J51" s="277"/>
    </row>
    <row r="52" spans="2:10" ht="24" collapsed="1" thickBot="1" x14ac:dyDescent="0.5">
      <c r="B52" s="128"/>
      <c r="C52" s="129"/>
      <c r="D52" s="130"/>
      <c r="E52" s="129"/>
      <c r="F52" s="130"/>
      <c r="G52" s="129"/>
      <c r="H52" s="130"/>
      <c r="I52" s="129"/>
      <c r="J52" s="130"/>
    </row>
    <row r="53" spans="2:10" x14ac:dyDescent="0.45">
      <c r="B53" s="122" t="s">
        <v>130</v>
      </c>
      <c r="C53" s="129"/>
      <c r="D53" s="130"/>
      <c r="E53" s="129"/>
      <c r="F53" s="130"/>
      <c r="G53" s="129"/>
      <c r="H53" s="130"/>
      <c r="I53" s="129"/>
      <c r="J53" s="130"/>
    </row>
    <row r="54" spans="2:10" hidden="1" outlineLevel="1" x14ac:dyDescent="0.45">
      <c r="B54" s="111" t="s">
        <v>131</v>
      </c>
      <c r="C54" s="279">
        <f>Bretas!F3+Bretas!F22</f>
        <v>6135</v>
      </c>
      <c r="D54" s="279"/>
      <c r="E54" s="281">
        <f>GBarbosa!F3+GBarbosa!F22</f>
        <v>4332</v>
      </c>
      <c r="F54" s="281"/>
      <c r="G54" s="279">
        <f>Prezunic!F3+Prezunic!F22</f>
        <v>5660</v>
      </c>
      <c r="H54" s="279"/>
      <c r="I54" s="281">
        <f>Giga!F3+Giga!F22</f>
        <v>5234</v>
      </c>
      <c r="J54" s="281"/>
    </row>
    <row r="55" spans="2:10" hidden="1" outlineLevel="1" x14ac:dyDescent="0.45">
      <c r="B55" s="111" t="s">
        <v>41</v>
      </c>
      <c r="C55" s="279">
        <f>-Bretas!F79</f>
        <v>-5654</v>
      </c>
      <c r="D55" s="279"/>
      <c r="E55" s="281">
        <f>-GBarbosa!F79</f>
        <v>-4191</v>
      </c>
      <c r="F55" s="281"/>
      <c r="G55" s="279">
        <f>-Prezunic!F79</f>
        <v>-3289</v>
      </c>
      <c r="H55" s="279"/>
      <c r="I55" s="281">
        <f>-Giga!F79</f>
        <v>-3930</v>
      </c>
      <c r="J55" s="281"/>
    </row>
    <row r="56" spans="2:10" hidden="1" outlineLevel="1" x14ac:dyDescent="0.45">
      <c r="B56" s="111" t="s">
        <v>132</v>
      </c>
      <c r="C56" s="279">
        <f>SUM(C54:C55)</f>
        <v>481</v>
      </c>
      <c r="D56" s="279"/>
      <c r="E56" s="281">
        <f>SUM(E54:E55)</f>
        <v>141</v>
      </c>
      <c r="F56" s="281"/>
      <c r="G56" s="279">
        <f>SUM(G54:G55)</f>
        <v>2371</v>
      </c>
      <c r="H56" s="279"/>
      <c r="I56" s="281">
        <f>SUM(I54:I55)</f>
        <v>1304</v>
      </c>
      <c r="J56" s="281"/>
    </row>
    <row r="57" spans="2:10" ht="16.8" hidden="1" customHeight="1" outlineLevel="1" x14ac:dyDescent="0.45">
      <c r="B57" s="111"/>
      <c r="C57" s="77"/>
      <c r="D57" s="77"/>
      <c r="E57" s="100"/>
      <c r="F57" s="100"/>
      <c r="G57" s="77"/>
      <c r="H57" s="77"/>
      <c r="I57" s="100"/>
      <c r="J57" s="100"/>
    </row>
    <row r="58" spans="2:10" hidden="1" outlineLevel="1" x14ac:dyDescent="0.45">
      <c r="B58" s="111" t="s">
        <v>133</v>
      </c>
      <c r="C58" s="280">
        <f>Bretas!F75</f>
        <v>31380</v>
      </c>
      <c r="D58" s="280"/>
      <c r="E58" s="282">
        <f>GBarbosa!F75</f>
        <v>4260</v>
      </c>
      <c r="F58" s="282"/>
      <c r="G58" s="280">
        <f>Prezunic!F75</f>
        <v>130370</v>
      </c>
      <c r="H58" s="280"/>
      <c r="I58" s="282">
        <f>Giga!F75</f>
        <v>49220</v>
      </c>
      <c r="J58" s="282"/>
    </row>
    <row r="59" spans="2:10" collapsed="1" x14ac:dyDescent="0.45">
      <c r="B59" s="168"/>
      <c r="C59" s="169"/>
      <c r="D59" s="169"/>
      <c r="E59" s="169"/>
      <c r="F59" s="169"/>
      <c r="G59" s="169"/>
      <c r="H59" s="169"/>
      <c r="I59" s="169"/>
      <c r="J59" s="169"/>
    </row>
    <row r="60" spans="2:10" x14ac:dyDescent="0.45">
      <c r="B60" s="128"/>
      <c r="C60" s="129"/>
      <c r="D60" s="130"/>
      <c r="E60" s="129"/>
      <c r="F60" s="130"/>
      <c r="G60" s="129"/>
      <c r="H60" s="130"/>
      <c r="I60" s="129"/>
      <c r="J60" s="130"/>
    </row>
    <row r="61" spans="2:10" x14ac:dyDescent="0.45">
      <c r="B61" s="240" t="s">
        <v>62</v>
      </c>
      <c r="C61" s="241"/>
      <c r="D61" s="241"/>
      <c r="E61" s="241"/>
      <c r="F61" s="241"/>
      <c r="G61" s="241"/>
      <c r="H61" s="241"/>
      <c r="I61" s="241"/>
      <c r="J61" s="241"/>
    </row>
    <row r="62" spans="2:10" outlineLevel="1" x14ac:dyDescent="0.45">
      <c r="B62" s="110"/>
      <c r="C62" s="64" t="s">
        <v>1</v>
      </c>
      <c r="D62" s="64" t="s">
        <v>99</v>
      </c>
      <c r="E62" s="99" t="s">
        <v>0</v>
      </c>
      <c r="F62" s="99" t="s">
        <v>100</v>
      </c>
      <c r="G62" s="64" t="s">
        <v>2</v>
      </c>
      <c r="H62" s="64" t="s">
        <v>101</v>
      </c>
      <c r="I62" s="99" t="s">
        <v>107</v>
      </c>
      <c r="J62" s="99" t="s">
        <v>108</v>
      </c>
    </row>
    <row r="63" spans="2:10" outlineLevel="1" x14ac:dyDescent="0.45">
      <c r="B63" s="112" t="s">
        <v>39</v>
      </c>
      <c r="C63" s="135">
        <f>Bretas!F81</f>
        <v>420298.95920927112</v>
      </c>
      <c r="D63" s="66"/>
      <c r="E63" s="146">
        <f>GBarbosa!F81</f>
        <v>277120.55641922529</v>
      </c>
      <c r="F63" s="101"/>
      <c r="G63" s="157">
        <f>Prezunic!F81</f>
        <v>244360.88371079625</v>
      </c>
      <c r="H63" s="66"/>
      <c r="I63" s="159">
        <f>Giga!F81</f>
        <v>282521.39849721466</v>
      </c>
      <c r="J63" s="101"/>
    </row>
    <row r="64" spans="2:10" outlineLevel="1" x14ac:dyDescent="0.45">
      <c r="B64" s="111"/>
      <c r="C64" s="136"/>
      <c r="D64" s="65"/>
      <c r="E64" s="147"/>
      <c r="F64" s="102"/>
      <c r="G64" s="158"/>
      <c r="H64" s="65"/>
      <c r="I64" s="160"/>
      <c r="J64" s="102"/>
    </row>
    <row r="65" spans="2:10" outlineLevel="1" x14ac:dyDescent="0.45">
      <c r="B65" s="113" t="s">
        <v>11</v>
      </c>
      <c r="C65" s="136">
        <f>-Bretas!F85</f>
        <v>-77005.409209271107</v>
      </c>
      <c r="D65" s="132"/>
      <c r="E65" s="147">
        <f>-GBarbosa!F85</f>
        <v>-51168.056419225279</v>
      </c>
      <c r="F65" s="102"/>
      <c r="G65" s="158">
        <f>-Prezunic!F85</f>
        <v>-45015.633710796261</v>
      </c>
      <c r="H65" s="65"/>
      <c r="I65" s="160">
        <f>-Giga!F85</f>
        <v>-46854.648497214665</v>
      </c>
      <c r="J65" s="102"/>
    </row>
    <row r="66" spans="2:10" outlineLevel="1" x14ac:dyDescent="0.45">
      <c r="B66" s="110"/>
      <c r="C66" s="136"/>
      <c r="D66" s="65"/>
      <c r="E66" s="147"/>
      <c r="F66" s="102"/>
      <c r="G66" s="158"/>
      <c r="H66" s="65"/>
      <c r="I66" s="160"/>
      <c r="J66" s="102"/>
    </row>
    <row r="67" spans="2:10" outlineLevel="1" x14ac:dyDescent="0.45">
      <c r="B67" s="111" t="s">
        <v>71</v>
      </c>
      <c r="C67" s="137">
        <f>C63+C65</f>
        <v>343293.55000000005</v>
      </c>
      <c r="D67" s="87">
        <v>1</v>
      </c>
      <c r="E67" s="148">
        <f t="shared" ref="E67:G67" si="0">E63+E65</f>
        <v>225952.5</v>
      </c>
      <c r="F67" s="103">
        <v>1</v>
      </c>
      <c r="G67" s="137">
        <f t="shared" si="0"/>
        <v>199345.25</v>
      </c>
      <c r="H67" s="87">
        <v>1</v>
      </c>
      <c r="I67" s="148">
        <f t="shared" ref="I67" si="1">I63+I65</f>
        <v>235666.75</v>
      </c>
      <c r="J67" s="103">
        <v>1</v>
      </c>
    </row>
    <row r="68" spans="2:10" x14ac:dyDescent="0.45">
      <c r="B68" s="110" t="s">
        <v>21</v>
      </c>
      <c r="C68" s="138"/>
      <c r="D68" s="78"/>
      <c r="E68" s="149"/>
      <c r="F68" s="104"/>
      <c r="G68" s="142"/>
      <c r="H68" s="78"/>
      <c r="I68" s="153"/>
      <c r="J68" s="104"/>
    </row>
    <row r="69" spans="2:10" x14ac:dyDescent="0.45">
      <c r="B69" s="110"/>
      <c r="C69" s="138"/>
      <c r="D69" s="78"/>
      <c r="E69" s="149"/>
      <c r="F69" s="104"/>
      <c r="G69" s="142"/>
      <c r="H69" s="78"/>
      <c r="I69" s="153"/>
      <c r="J69" s="104"/>
    </row>
    <row r="70" spans="2:10" outlineLevel="1" x14ac:dyDescent="0.45">
      <c r="B70" s="113" t="s">
        <v>42</v>
      </c>
      <c r="C70" s="139">
        <f>-Bretas!F83</f>
        <v>-302740</v>
      </c>
      <c r="D70" s="88">
        <f>ABS(C70/C$67)</f>
        <v>0.88186917581177959</v>
      </c>
      <c r="E70" s="150">
        <f>-GBarbosa!F83</f>
        <v>-210340</v>
      </c>
      <c r="F70" s="105">
        <f>ABS(E70/E$67)</f>
        <v>0.93090361912348829</v>
      </c>
      <c r="G70" s="140">
        <f>-Prezunic!F83</f>
        <v>-174630</v>
      </c>
      <c r="H70" s="88">
        <f>ABS(G70/G$67)</f>
        <v>0.87601786348056954</v>
      </c>
      <c r="I70" s="151">
        <f>-Giga!F83</f>
        <v>-208965</v>
      </c>
      <c r="J70" s="105">
        <f>ABS(I70/I$67)</f>
        <v>0.88669699904632282</v>
      </c>
    </row>
    <row r="71" spans="2:10" outlineLevel="1" x14ac:dyDescent="0.45">
      <c r="B71" s="110"/>
      <c r="C71" s="140"/>
      <c r="D71" s="88"/>
      <c r="E71" s="151"/>
      <c r="F71" s="106"/>
      <c r="G71" s="140"/>
      <c r="H71" s="90"/>
      <c r="I71" s="151"/>
      <c r="J71" s="106"/>
    </row>
    <row r="72" spans="2:10" outlineLevel="1" x14ac:dyDescent="0.45">
      <c r="B72" s="111" t="s">
        <v>102</v>
      </c>
      <c r="C72" s="141">
        <f>C67+C70</f>
        <v>40553.550000000047</v>
      </c>
      <c r="D72" s="91">
        <f>C72/C$67</f>
        <v>0.11813082418822038</v>
      </c>
      <c r="E72" s="152">
        <f>E67+E70</f>
        <v>15612.5</v>
      </c>
      <c r="F72" s="107">
        <f>E72/E$67</f>
        <v>6.9096380876511654E-2</v>
      </c>
      <c r="G72" s="141">
        <f>G67+G70</f>
        <v>24715.25</v>
      </c>
      <c r="H72" s="91">
        <f>G72/G$67</f>
        <v>0.12398213651943049</v>
      </c>
      <c r="I72" s="152">
        <f>I67+I70</f>
        <v>26701.75</v>
      </c>
      <c r="J72" s="107">
        <f>I72/I$67</f>
        <v>0.11330300095367718</v>
      </c>
    </row>
    <row r="73" spans="2:10" x14ac:dyDescent="0.45">
      <c r="B73" s="110" t="s">
        <v>121</v>
      </c>
      <c r="C73" s="142"/>
      <c r="D73" s="89"/>
      <c r="E73" s="153"/>
      <c r="F73" s="108"/>
      <c r="G73" s="142"/>
      <c r="H73" s="89"/>
      <c r="I73" s="153"/>
      <c r="J73" s="108"/>
    </row>
    <row r="74" spans="2:10" x14ac:dyDescent="0.45">
      <c r="B74" s="110"/>
      <c r="C74" s="142"/>
      <c r="D74" s="89"/>
      <c r="E74" s="153"/>
      <c r="F74" s="108"/>
      <c r="G74" s="142"/>
      <c r="H74" s="89"/>
      <c r="I74" s="153"/>
      <c r="J74" s="108"/>
    </row>
    <row r="75" spans="2:10" outlineLevel="1" x14ac:dyDescent="0.45">
      <c r="B75" s="113" t="s">
        <v>83</v>
      </c>
      <c r="C75" s="139">
        <f>-Bretas!F87</f>
        <v>-202.95</v>
      </c>
      <c r="D75" s="88">
        <f>ABS(C75/C$67)</f>
        <v>5.911850076996785E-4</v>
      </c>
      <c r="E75" s="150">
        <f>-GBarbosa!F87</f>
        <v>-55.2</v>
      </c>
      <c r="F75" s="105">
        <f>ABS(E75/E$67)</f>
        <v>2.4429913366747435E-4</v>
      </c>
      <c r="G75" s="140">
        <f>-Prezunic!F87</f>
        <v>-987.55</v>
      </c>
      <c r="H75" s="88">
        <f>ABS(G75/G$67)</f>
        <v>4.9539680529132246E-3</v>
      </c>
      <c r="I75" s="151">
        <f>-Giga!F87</f>
        <v>-583.25</v>
      </c>
      <c r="J75" s="105">
        <f>ABS(I75/I$67)</f>
        <v>2.4748930428242421E-3</v>
      </c>
    </row>
    <row r="76" spans="2:10" outlineLevel="1" x14ac:dyDescent="0.45">
      <c r="B76" s="114"/>
      <c r="C76" s="143"/>
      <c r="D76" s="79"/>
      <c r="E76" s="154"/>
      <c r="F76" s="109"/>
      <c r="G76" s="143"/>
      <c r="H76" s="79"/>
      <c r="I76" s="154"/>
      <c r="J76" s="109"/>
    </row>
    <row r="77" spans="2:10" outlineLevel="1" x14ac:dyDescent="0.45">
      <c r="B77" s="113" t="s">
        <v>122</v>
      </c>
      <c r="C77" s="139">
        <f>-Bretas!F89</f>
        <v>-357.875</v>
      </c>
      <c r="D77" s="88">
        <f>ABS(C77/C$67)</f>
        <v>1.0424751644765827E-3</v>
      </c>
      <c r="E77" s="150">
        <f>-GBarbosa!F89</f>
        <v>-180.99999999999997</v>
      </c>
      <c r="F77" s="105">
        <f>ABS(E77/E$67)</f>
        <v>8.0105331872849371E-4</v>
      </c>
      <c r="G77" s="140">
        <f>-Prezunic!F89</f>
        <v>-2018.0166666666664</v>
      </c>
      <c r="H77" s="88">
        <f>ABS(G77/G$67)</f>
        <v>1.0123224238684727E-2</v>
      </c>
      <c r="I77" s="151">
        <f>-Giga!F89</f>
        <v>-508.74166666666667</v>
      </c>
      <c r="J77" s="105">
        <f>ABS(I77/I$67)</f>
        <v>2.1587333243517242E-3</v>
      </c>
    </row>
    <row r="78" spans="2:10" x14ac:dyDescent="0.45">
      <c r="B78" s="114" t="s">
        <v>124</v>
      </c>
      <c r="C78" s="143"/>
      <c r="D78" s="79"/>
      <c r="E78" s="154"/>
      <c r="F78" s="109"/>
      <c r="G78" s="143"/>
      <c r="H78" s="79"/>
      <c r="I78" s="154"/>
      <c r="J78" s="109"/>
    </row>
    <row r="79" spans="2:10" x14ac:dyDescent="0.45">
      <c r="B79" s="114"/>
      <c r="C79" s="143"/>
      <c r="D79" s="79"/>
      <c r="E79" s="154"/>
      <c r="F79" s="109"/>
      <c r="G79" s="143"/>
      <c r="H79" s="79"/>
      <c r="I79" s="154"/>
      <c r="J79" s="109"/>
    </row>
    <row r="80" spans="2:10" outlineLevel="1" x14ac:dyDescent="0.45">
      <c r="B80" s="115" t="s">
        <v>127</v>
      </c>
      <c r="C80" s="144">
        <f>C72+C75+C77</f>
        <v>39992.725000000049</v>
      </c>
      <c r="D80" s="91">
        <f>C80/C$67</f>
        <v>0.11649716401604412</v>
      </c>
      <c r="E80" s="155">
        <f>E72+E75+E77</f>
        <v>15376.3</v>
      </c>
      <c r="F80" s="107">
        <f>E80/E$67</f>
        <v>6.8051028424115687E-2</v>
      </c>
      <c r="G80" s="144">
        <f>G72+G75+G77</f>
        <v>21709.683333333334</v>
      </c>
      <c r="H80" s="91">
        <f>G80/G$67</f>
        <v>0.10890494422783253</v>
      </c>
      <c r="I80" s="155">
        <f>I72+I75+I77</f>
        <v>25609.758333333335</v>
      </c>
      <c r="J80" s="107">
        <f>I80/I$67</f>
        <v>0.10866937458650121</v>
      </c>
    </row>
    <row r="81" spans="2:10" outlineLevel="1" x14ac:dyDescent="0.45">
      <c r="B81" s="114"/>
      <c r="C81" s="143"/>
      <c r="D81" s="79"/>
      <c r="E81" s="154"/>
      <c r="F81" s="109"/>
      <c r="G81" s="143"/>
      <c r="H81" s="79"/>
      <c r="I81" s="154"/>
      <c r="J81" s="109"/>
    </row>
    <row r="82" spans="2:10" x14ac:dyDescent="0.45">
      <c r="B82" s="114" t="s">
        <v>125</v>
      </c>
      <c r="C82" s="143"/>
      <c r="D82" s="79"/>
      <c r="E82" s="154"/>
      <c r="F82" s="109"/>
      <c r="G82" s="143"/>
      <c r="H82" s="79"/>
      <c r="I82" s="154"/>
      <c r="J82" s="109"/>
    </row>
    <row r="83" spans="2:10" x14ac:dyDescent="0.45">
      <c r="B83" s="114"/>
      <c r="C83" s="143"/>
      <c r="D83" s="79"/>
      <c r="E83" s="154"/>
      <c r="F83" s="109"/>
      <c r="G83" s="143"/>
      <c r="H83" s="79"/>
      <c r="I83" s="154"/>
      <c r="J83" s="109"/>
    </row>
    <row r="84" spans="2:10" outlineLevel="1" x14ac:dyDescent="0.45">
      <c r="B84" s="113" t="s">
        <v>87</v>
      </c>
      <c r="C84" s="143">
        <f>-((Bretas!J1*'Dados de apoio'!P4)+(Bretas!J2*'Dados de apoio'!P3))</f>
        <v>-16000</v>
      </c>
      <c r="D84" s="88">
        <f>ABS(C84/C$67)</f>
        <v>4.6607342316801463E-2</v>
      </c>
      <c r="E84" s="154">
        <f>-((GBarbosa!J1*'Dados de apoio'!P4)+(GBarbosa!J2*'Dados de apoio'!P3))</f>
        <v>-9600</v>
      </c>
      <c r="F84" s="105">
        <f>ABS(E84/E$67)</f>
        <v>4.2486805855212931E-2</v>
      </c>
      <c r="G84" s="145">
        <f>-((Prezunic!J1*'Dados de apoio'!P4)+(Prezunic!J2*'Dados de apoio'!P3))</f>
        <v>-14800</v>
      </c>
      <c r="H84" s="88">
        <f>ABS(G84/G$67)</f>
        <v>7.4243053195398437E-2</v>
      </c>
      <c r="I84" s="156">
        <f>-((Giga!J1*'Dados de apoio'!P4)+(Giga!J2*'Dados de apoio'!P3))</f>
        <v>-8600</v>
      </c>
      <c r="J84" s="105">
        <f>ABS(I84/I$67)</f>
        <v>3.6492207746744075E-2</v>
      </c>
    </row>
    <row r="85" spans="2:10" outlineLevel="1" x14ac:dyDescent="0.45">
      <c r="B85" s="114"/>
      <c r="C85" s="143"/>
      <c r="D85" s="79"/>
      <c r="E85" s="154"/>
      <c r="F85" s="109"/>
      <c r="G85" s="143"/>
      <c r="H85" s="79"/>
      <c r="I85" s="154"/>
      <c r="J85" s="109"/>
    </row>
    <row r="86" spans="2:10" outlineLevel="1" x14ac:dyDescent="0.45">
      <c r="B86" s="113" t="s">
        <v>86</v>
      </c>
      <c r="C86" s="145">
        <f>IF(Bretas!K15="sim",0,-'Dados de apoio'!B25)</f>
        <v>-400</v>
      </c>
      <c r="D86" s="88">
        <f>ABS(C86/C$67)</f>
        <v>1.1651835579200365E-3</v>
      </c>
      <c r="E86" s="156">
        <f>IF(GBarbosa!K15="sim",0,-'Dados de apoio'!B25)</f>
        <v>0</v>
      </c>
      <c r="F86" s="105">
        <f>ABS(E86/E$67)</f>
        <v>0</v>
      </c>
      <c r="G86" s="145">
        <f>IF(Prezunic!K15="sim",0,-'Dados de apoio'!B25)</f>
        <v>0</v>
      </c>
      <c r="H86" s="88">
        <f>ABS(G86/G$67)</f>
        <v>0</v>
      </c>
      <c r="I86" s="156">
        <f>IF(Giga!K15="sim",0,-'Dados de apoio'!B25)</f>
        <v>0</v>
      </c>
      <c r="J86" s="105">
        <f>ABS(I86/I$67)</f>
        <v>0</v>
      </c>
    </row>
    <row r="87" spans="2:10" outlineLevel="1" x14ac:dyDescent="0.45">
      <c r="B87" s="114"/>
      <c r="C87" s="143"/>
      <c r="D87" s="79"/>
      <c r="E87" s="154"/>
      <c r="F87" s="109"/>
      <c r="G87" s="143"/>
      <c r="H87" s="79"/>
      <c r="I87" s="154"/>
      <c r="J87" s="109"/>
    </row>
    <row r="88" spans="2:10" outlineLevel="1" x14ac:dyDescent="0.45">
      <c r="B88" s="113" t="s">
        <v>128</v>
      </c>
      <c r="C88" s="145">
        <f>IF(Bretas!N4&lt;0,Bretas!N4*'Dados de apoio'!$B$23,0)</f>
        <v>0</v>
      </c>
      <c r="D88" s="88">
        <f>ABS(C88/C$67)</f>
        <v>0</v>
      </c>
      <c r="E88" s="156">
        <f>IF(GBarbosa!N4&lt;0,GBarbosa!N4*'Dados de apoio'!$B$23,0)</f>
        <v>0</v>
      </c>
      <c r="F88" s="105">
        <f>ABS(E88/E$67)</f>
        <v>0</v>
      </c>
      <c r="G88" s="145">
        <f>IF(Prezunic!N4&lt;0,Prezunic!N4*'Dados de apoio'!$B$23,0)</f>
        <v>0</v>
      </c>
      <c r="H88" s="88">
        <f>ABS(G88/G$67)</f>
        <v>0</v>
      </c>
      <c r="I88" s="156">
        <f>IF(Giga!N4&lt;0,Giga!N4*'Dados de apoio'!$B$23,0)</f>
        <v>0</v>
      </c>
      <c r="J88" s="105">
        <f>ABS(I88/I$67)</f>
        <v>0</v>
      </c>
    </row>
    <row r="89" spans="2:10" outlineLevel="1" x14ac:dyDescent="0.45">
      <c r="B89" s="113"/>
      <c r="C89" s="145"/>
      <c r="D89" s="88"/>
      <c r="E89" s="156"/>
      <c r="F89" s="105"/>
      <c r="G89" s="145"/>
      <c r="H89" s="88"/>
      <c r="I89" s="156"/>
      <c r="J89" s="105"/>
    </row>
    <row r="90" spans="2:10" outlineLevel="1" x14ac:dyDescent="0.45">
      <c r="B90" s="113" t="s">
        <v>137</v>
      </c>
      <c r="C90" s="145">
        <f>-Bretas!L29</f>
        <v>-2970</v>
      </c>
      <c r="D90" s="88">
        <f>ABS(C90/C$67)</f>
        <v>8.6514879175562717E-3</v>
      </c>
      <c r="E90" s="156">
        <f>-GBarbosa!L29</f>
        <v>-2410</v>
      </c>
      <c r="F90" s="105">
        <f>ABS(E90/E$67)</f>
        <v>1.0665958553235747E-2</v>
      </c>
      <c r="G90" s="145">
        <f>-Prezunic!L29</f>
        <v>-2850</v>
      </c>
      <c r="H90" s="88">
        <f>ABS(G90/G$67)</f>
        <v>1.4296804162627401E-2</v>
      </c>
      <c r="I90" s="156">
        <f>-Giga!L29</f>
        <v>-2330</v>
      </c>
      <c r="J90" s="105">
        <f>ABS(I90/I$67)</f>
        <v>9.8868423313853149E-3</v>
      </c>
    </row>
    <row r="91" spans="2:10" outlineLevel="1" x14ac:dyDescent="0.45">
      <c r="B91" s="113"/>
      <c r="C91" s="145"/>
      <c r="D91" s="88"/>
      <c r="E91" s="156"/>
      <c r="F91" s="105"/>
      <c r="G91" s="145"/>
      <c r="H91" s="88"/>
      <c r="I91" s="156"/>
      <c r="J91" s="105"/>
    </row>
    <row r="92" spans="2:10" x14ac:dyDescent="0.45">
      <c r="B92" s="131" t="s">
        <v>123</v>
      </c>
      <c r="C92" s="145"/>
      <c r="D92" s="88"/>
      <c r="E92" s="156"/>
      <c r="F92" s="105"/>
      <c r="G92" s="145"/>
      <c r="H92" s="88"/>
      <c r="I92" s="156"/>
      <c r="J92" s="105"/>
    </row>
    <row r="93" spans="2:10" x14ac:dyDescent="0.45">
      <c r="B93" s="114"/>
      <c r="C93" s="143"/>
      <c r="D93" s="79"/>
      <c r="E93" s="154"/>
      <c r="F93" s="109"/>
      <c r="G93" s="143"/>
      <c r="H93" s="79"/>
      <c r="I93" s="154"/>
      <c r="J93" s="109"/>
    </row>
    <row r="94" spans="2:10" outlineLevel="1" x14ac:dyDescent="0.45">
      <c r="B94" s="111" t="s">
        <v>72</v>
      </c>
      <c r="C94" s="161">
        <f>SUM(C80:C90)</f>
        <v>20622.725000000049</v>
      </c>
      <c r="D94" s="91">
        <f>C94/C$67</f>
        <v>6.0073150223766358E-2</v>
      </c>
      <c r="E94" s="162">
        <f>SUM(E80:E90)</f>
        <v>3366.2999999999993</v>
      </c>
      <c r="F94" s="107">
        <f>E94/E$67</f>
        <v>1.4898264015667007E-2</v>
      </c>
      <c r="G94" s="161">
        <f>SUM(G80:G90)</f>
        <v>4059.6833333333343</v>
      </c>
      <c r="H94" s="91">
        <f>G94/G$67</f>
        <v>2.03650868698067E-2</v>
      </c>
      <c r="I94" s="162">
        <f>SUM(I80:I90)</f>
        <v>14679.758333333335</v>
      </c>
      <c r="J94" s="107">
        <f>I94/I$67</f>
        <v>6.2290324508371825E-2</v>
      </c>
    </row>
    <row r="95" spans="2:10" outlineLevel="1" x14ac:dyDescent="0.45">
      <c r="B95" s="111"/>
      <c r="C95" s="137"/>
      <c r="D95" s="91"/>
      <c r="E95" s="148"/>
      <c r="F95" s="107"/>
      <c r="G95" s="137"/>
      <c r="H95" s="91"/>
      <c r="I95" s="148"/>
      <c r="J95" s="107"/>
    </row>
    <row r="96" spans="2:10" x14ac:dyDescent="0.45">
      <c r="B96" s="131" t="s">
        <v>126</v>
      </c>
      <c r="C96" s="145"/>
      <c r="D96" s="88"/>
      <c r="E96" s="156"/>
      <c r="F96" s="105"/>
      <c r="G96" s="145"/>
      <c r="H96" s="88"/>
      <c r="I96" s="156"/>
      <c r="J96" s="105"/>
    </row>
  </sheetData>
  <dataConsolidate/>
  <mergeCells count="153">
    <mergeCell ref="G55:H55"/>
    <mergeCell ref="G56:H56"/>
    <mergeCell ref="G58:H58"/>
    <mergeCell ref="I54:J54"/>
    <mergeCell ref="I55:J55"/>
    <mergeCell ref="I56:J56"/>
    <mergeCell ref="I58:J58"/>
    <mergeCell ref="C55:D55"/>
    <mergeCell ref="C56:D56"/>
    <mergeCell ref="C58:D58"/>
    <mergeCell ref="E54:F54"/>
    <mergeCell ref="E55:F55"/>
    <mergeCell ref="E56:F56"/>
    <mergeCell ref="E58:F58"/>
    <mergeCell ref="C51:D51"/>
    <mergeCell ref="E51:F51"/>
    <mergeCell ref="G51:H51"/>
    <mergeCell ref="I51:J51"/>
    <mergeCell ref="C54:D54"/>
    <mergeCell ref="G54:H54"/>
    <mergeCell ref="C48:D48"/>
    <mergeCell ref="E48:F48"/>
    <mergeCell ref="G48:H48"/>
    <mergeCell ref="I48:J48"/>
    <mergeCell ref="C49:D49"/>
    <mergeCell ref="E49:F49"/>
    <mergeCell ref="G49:H49"/>
    <mergeCell ref="I49:J49"/>
    <mergeCell ref="C46:D46"/>
    <mergeCell ref="E46:F46"/>
    <mergeCell ref="G46:H46"/>
    <mergeCell ref="I46:J46"/>
    <mergeCell ref="C47:D47"/>
    <mergeCell ref="E47:F47"/>
    <mergeCell ref="G47:H47"/>
    <mergeCell ref="I47:J47"/>
    <mergeCell ref="C39:D39"/>
    <mergeCell ref="E39:F39"/>
    <mergeCell ref="G39:H39"/>
    <mergeCell ref="I39:J39"/>
    <mergeCell ref="C43:D43"/>
    <mergeCell ref="E43:F43"/>
    <mergeCell ref="G43:H43"/>
    <mergeCell ref="I43:J43"/>
    <mergeCell ref="C40:D40"/>
    <mergeCell ref="E40:F40"/>
    <mergeCell ref="G40:H40"/>
    <mergeCell ref="I40:J40"/>
    <mergeCell ref="C41:D41"/>
    <mergeCell ref="E41:F41"/>
    <mergeCell ref="G41:H41"/>
    <mergeCell ref="I41:J41"/>
    <mergeCell ref="C36:D36"/>
    <mergeCell ref="E36:F36"/>
    <mergeCell ref="G36:H36"/>
    <mergeCell ref="I36:J36"/>
    <mergeCell ref="C32:D32"/>
    <mergeCell ref="E32:F32"/>
    <mergeCell ref="G32:H32"/>
    <mergeCell ref="I32:J32"/>
    <mergeCell ref="C34:D34"/>
    <mergeCell ref="E34:F34"/>
    <mergeCell ref="G34:H34"/>
    <mergeCell ref="I34:J34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24:D24"/>
    <mergeCell ref="E24:F24"/>
    <mergeCell ref="G24:H24"/>
    <mergeCell ref="I24:J24"/>
    <mergeCell ref="C27:D27"/>
    <mergeCell ref="E27:F27"/>
    <mergeCell ref="G27:H27"/>
    <mergeCell ref="I27:J27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1:D21"/>
    <mergeCell ref="E21:F21"/>
    <mergeCell ref="G21:H21"/>
    <mergeCell ref="I21:J21"/>
    <mergeCell ref="G15:H15"/>
    <mergeCell ref="G16:H16"/>
    <mergeCell ref="G17:H17"/>
    <mergeCell ref="G18:H18"/>
    <mergeCell ref="I15:J15"/>
    <mergeCell ref="I16:J16"/>
    <mergeCell ref="I17:J17"/>
    <mergeCell ref="I18:J18"/>
    <mergeCell ref="C15:D15"/>
    <mergeCell ref="C16:D16"/>
    <mergeCell ref="C17:D17"/>
    <mergeCell ref="C18:D18"/>
    <mergeCell ref="E15:F15"/>
    <mergeCell ref="E16:F16"/>
    <mergeCell ref="E17:F17"/>
    <mergeCell ref="E18:F18"/>
    <mergeCell ref="G12:H12"/>
    <mergeCell ref="I9:J9"/>
    <mergeCell ref="I10:J10"/>
    <mergeCell ref="I11:J11"/>
    <mergeCell ref="I12:J12"/>
    <mergeCell ref="C9:D9"/>
    <mergeCell ref="C10:D10"/>
    <mergeCell ref="C11:D11"/>
    <mergeCell ref="C12:D12"/>
    <mergeCell ref="E9:F9"/>
    <mergeCell ref="E10:F10"/>
    <mergeCell ref="E11:F11"/>
    <mergeCell ref="E12:F12"/>
    <mergeCell ref="G5:H5"/>
    <mergeCell ref="G6:H6"/>
    <mergeCell ref="I3:J3"/>
    <mergeCell ref="I4:J4"/>
    <mergeCell ref="I5:J5"/>
    <mergeCell ref="I6:J6"/>
    <mergeCell ref="B61:J61"/>
    <mergeCell ref="C1:D1"/>
    <mergeCell ref="E1:F1"/>
    <mergeCell ref="G1:H1"/>
    <mergeCell ref="I1:J1"/>
    <mergeCell ref="C3:D3"/>
    <mergeCell ref="C4:D4"/>
    <mergeCell ref="C5:D5"/>
    <mergeCell ref="C6:D6"/>
    <mergeCell ref="E3:F3"/>
    <mergeCell ref="E4:F4"/>
    <mergeCell ref="E5:F5"/>
    <mergeCell ref="E6:F6"/>
    <mergeCell ref="G3:H3"/>
    <mergeCell ref="G4:H4"/>
    <mergeCell ref="G9:H9"/>
    <mergeCell ref="G10:H10"/>
    <mergeCell ref="G11:H1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DE42-3B1F-4E75-B563-152123605069}">
  <dimension ref="B3:R44"/>
  <sheetViews>
    <sheetView showGridLines="0" topLeftCell="D1" zoomScale="110" zoomScaleNormal="110" workbookViewId="0">
      <selection activeCell="Q29" sqref="Q29"/>
    </sheetView>
  </sheetViews>
  <sheetFormatPr defaultRowHeight="14.4" x14ac:dyDescent="0.3"/>
  <cols>
    <col min="2" max="2" width="34" bestFit="1" customWidth="1"/>
    <col min="3" max="3" width="11.33203125" bestFit="1" customWidth="1"/>
    <col min="6" max="6" width="23" bestFit="1" customWidth="1"/>
    <col min="7" max="7" width="14" bestFit="1" customWidth="1"/>
    <col min="8" max="8" width="11.5546875" customWidth="1"/>
    <col min="11" max="11" width="9.44140625" bestFit="1" customWidth="1"/>
    <col min="13" max="13" width="16.6640625" bestFit="1" customWidth="1"/>
    <col min="14" max="14" width="15.21875" customWidth="1"/>
    <col min="15" max="15" width="14.44140625" bestFit="1" customWidth="1"/>
    <col min="16" max="16" width="12.88671875" customWidth="1"/>
    <col min="18" max="18" width="11" bestFit="1" customWidth="1"/>
  </cols>
  <sheetData>
    <row r="3" spans="2:16" x14ac:dyDescent="0.3">
      <c r="F3" s="181" t="s">
        <v>96</v>
      </c>
      <c r="G3" s="182" t="s">
        <v>32</v>
      </c>
      <c r="H3" s="189" t="s">
        <v>68</v>
      </c>
      <c r="M3" s="200" t="s">
        <v>93</v>
      </c>
      <c r="N3" s="201" t="s">
        <v>24</v>
      </c>
    </row>
    <row r="4" spans="2:16" x14ac:dyDescent="0.3">
      <c r="F4" s="184" t="s">
        <v>55</v>
      </c>
      <c r="G4" s="190" t="s">
        <v>150</v>
      </c>
      <c r="H4" s="191">
        <v>50000</v>
      </c>
      <c r="M4" s="196">
        <v>0</v>
      </c>
      <c r="N4" s="198">
        <v>6</v>
      </c>
    </row>
    <row r="5" spans="2:16" x14ac:dyDescent="0.3">
      <c r="F5" s="184" t="s">
        <v>56</v>
      </c>
      <c r="G5" s="190" t="s">
        <v>151</v>
      </c>
      <c r="H5" s="191">
        <v>75000</v>
      </c>
      <c r="M5" s="196">
        <v>1</v>
      </c>
      <c r="N5" s="198">
        <v>5</v>
      </c>
    </row>
    <row r="6" spans="2:16" x14ac:dyDescent="0.3">
      <c r="F6" s="184" t="s">
        <v>57</v>
      </c>
      <c r="G6" s="190" t="s">
        <v>150</v>
      </c>
      <c r="H6" s="191">
        <v>80000</v>
      </c>
      <c r="M6" s="196">
        <v>2</v>
      </c>
      <c r="N6" s="198">
        <v>4</v>
      </c>
    </row>
    <row r="7" spans="2:16" x14ac:dyDescent="0.3">
      <c r="F7" s="184" t="s">
        <v>58</v>
      </c>
      <c r="G7" s="190" t="s">
        <v>151</v>
      </c>
      <c r="H7" s="191">
        <v>65000</v>
      </c>
      <c r="M7" s="196">
        <v>3</v>
      </c>
      <c r="N7" s="198">
        <v>3</v>
      </c>
    </row>
    <row r="8" spans="2:16" x14ac:dyDescent="0.3">
      <c r="F8" s="184" t="s">
        <v>152</v>
      </c>
      <c r="G8" s="190" t="s">
        <v>150</v>
      </c>
      <c r="H8" s="191">
        <v>80000</v>
      </c>
      <c r="M8" s="196">
        <v>4</v>
      </c>
      <c r="N8" s="198">
        <v>2</v>
      </c>
    </row>
    <row r="9" spans="2:16" x14ac:dyDescent="0.3">
      <c r="F9" s="186" t="s">
        <v>59</v>
      </c>
      <c r="G9" s="195">
        <v>0</v>
      </c>
      <c r="H9" s="194">
        <v>45000</v>
      </c>
      <c r="M9" s="197">
        <v>5</v>
      </c>
      <c r="N9" s="199">
        <v>1</v>
      </c>
    </row>
    <row r="10" spans="2:16" x14ac:dyDescent="0.3">
      <c r="F10" s="186"/>
      <c r="G10" s="192" t="s">
        <v>54</v>
      </c>
      <c r="H10" s="193">
        <f>SUM(H4:H9)</f>
        <v>395000</v>
      </c>
    </row>
    <row r="15" spans="2:16" x14ac:dyDescent="0.3">
      <c r="B15" s="181" t="s">
        <v>138</v>
      </c>
      <c r="C15" s="189" t="s">
        <v>68</v>
      </c>
      <c r="F15" s="174" t="s">
        <v>148</v>
      </c>
      <c r="G15" s="175" t="s">
        <v>3</v>
      </c>
      <c r="H15" s="174" t="s">
        <v>4</v>
      </c>
      <c r="I15" s="174" t="s">
        <v>5</v>
      </c>
      <c r="J15" s="175" t="s">
        <v>6</v>
      </c>
      <c r="K15" s="174" t="s">
        <v>20</v>
      </c>
      <c r="M15" s="181" t="s">
        <v>157</v>
      </c>
      <c r="N15" s="202" t="s">
        <v>158</v>
      </c>
      <c r="O15" s="202" t="s">
        <v>15</v>
      </c>
      <c r="P15" s="183" t="s">
        <v>61</v>
      </c>
    </row>
    <row r="16" spans="2:16" ht="17.399999999999999" customHeight="1" x14ac:dyDescent="0.3">
      <c r="B16" s="184" t="s">
        <v>139</v>
      </c>
      <c r="C16" s="191">
        <v>120</v>
      </c>
      <c r="G16" s="172"/>
      <c r="H16" s="172"/>
      <c r="I16" s="172"/>
      <c r="J16" s="172"/>
      <c r="M16" s="184" t="s">
        <v>1</v>
      </c>
      <c r="N16" s="217">
        <v>894.94538270383578</v>
      </c>
      <c r="O16" s="218">
        <v>0.8387261146496815</v>
      </c>
      <c r="P16" s="219">
        <v>1</v>
      </c>
    </row>
    <row r="17" spans="2:18" x14ac:dyDescent="0.3">
      <c r="B17" s="184" t="s">
        <v>141</v>
      </c>
      <c r="C17" s="191">
        <v>80</v>
      </c>
      <c r="F17" t="s">
        <v>146</v>
      </c>
      <c r="G17" s="180">
        <v>1000</v>
      </c>
      <c r="H17" s="180">
        <v>1000</v>
      </c>
      <c r="I17" s="180">
        <v>1000</v>
      </c>
      <c r="J17" s="180">
        <v>1000</v>
      </c>
      <c r="K17" s="180">
        <f>SUM(G17:J17)</f>
        <v>4000</v>
      </c>
      <c r="M17" s="184" t="s">
        <v>0</v>
      </c>
      <c r="N17" s="217">
        <v>895.91312463931968</v>
      </c>
      <c r="O17" s="218">
        <v>0.52299363057324844</v>
      </c>
      <c r="P17" s="219">
        <v>0.7</v>
      </c>
    </row>
    <row r="18" spans="2:18" x14ac:dyDescent="0.3">
      <c r="B18" s="184" t="s">
        <v>140</v>
      </c>
      <c r="C18" s="191">
        <v>500</v>
      </c>
      <c r="G18" s="178"/>
      <c r="H18" s="178"/>
      <c r="I18" s="178"/>
      <c r="J18" s="178"/>
      <c r="K18" s="180"/>
      <c r="M18" s="184" t="s">
        <v>2</v>
      </c>
      <c r="N18" s="217">
        <v>871.07441496190052</v>
      </c>
      <c r="O18" s="218">
        <v>0.44796178343949045</v>
      </c>
      <c r="P18" s="219">
        <v>0.9</v>
      </c>
    </row>
    <row r="19" spans="2:18" x14ac:dyDescent="0.3">
      <c r="B19" s="186" t="s">
        <v>142</v>
      </c>
      <c r="C19" s="194">
        <v>500</v>
      </c>
      <c r="F19" t="s">
        <v>147</v>
      </c>
      <c r="G19" s="179">
        <v>670</v>
      </c>
      <c r="H19" s="179">
        <v>500</v>
      </c>
      <c r="I19" s="179">
        <v>800</v>
      </c>
      <c r="J19" s="179">
        <v>750</v>
      </c>
      <c r="K19" s="180">
        <f>SUM(G19:J19)</f>
        <v>2720</v>
      </c>
      <c r="M19" s="186" t="s">
        <v>107</v>
      </c>
      <c r="N19" s="220">
        <v>894.30022141351321</v>
      </c>
      <c r="O19" s="221">
        <v>0.5592356687898089</v>
      </c>
      <c r="P19" s="222">
        <v>0.81</v>
      </c>
    </row>
    <row r="20" spans="2:18" x14ac:dyDescent="0.3">
      <c r="F20" s="173"/>
      <c r="G20" s="176"/>
      <c r="H20" s="176"/>
      <c r="I20" s="176"/>
      <c r="J20" s="176"/>
      <c r="K20" s="74"/>
    </row>
    <row r="21" spans="2:18" x14ac:dyDescent="0.3">
      <c r="F21" s="173" t="s">
        <v>15</v>
      </c>
      <c r="G21" s="177">
        <f>G19/G17</f>
        <v>0.67</v>
      </c>
      <c r="H21" s="177">
        <f t="shared" ref="H21:K21" si="0">H19/H17</f>
        <v>0.5</v>
      </c>
      <c r="I21" s="177">
        <f t="shared" si="0"/>
        <v>0.8</v>
      </c>
      <c r="J21" s="177">
        <f t="shared" si="0"/>
        <v>0.75</v>
      </c>
      <c r="K21" s="177">
        <f t="shared" si="0"/>
        <v>0.68</v>
      </c>
    </row>
    <row r="22" spans="2:18" x14ac:dyDescent="0.3">
      <c r="M22" s="181" t="s">
        <v>157</v>
      </c>
      <c r="N22" s="202" t="s">
        <v>158</v>
      </c>
      <c r="O22" s="202" t="s">
        <v>15</v>
      </c>
      <c r="P22" s="182" t="s">
        <v>61</v>
      </c>
      <c r="Q22" s="182" t="s">
        <v>159</v>
      </c>
      <c r="R22" s="189" t="s">
        <v>160</v>
      </c>
    </row>
    <row r="23" spans="2:18" x14ac:dyDescent="0.3">
      <c r="M23" s="184" t="s">
        <v>1</v>
      </c>
      <c r="N23" s="172">
        <v>1</v>
      </c>
      <c r="O23" s="172">
        <v>4</v>
      </c>
      <c r="P23" s="172">
        <v>4</v>
      </c>
      <c r="Q23" s="172">
        <f>SUM(N23:P23)</f>
        <v>9</v>
      </c>
      <c r="R23" s="224">
        <f>Q23/$Q$27</f>
        <v>0.3</v>
      </c>
    </row>
    <row r="24" spans="2:18" x14ac:dyDescent="0.3">
      <c r="M24" s="184" t="s">
        <v>0</v>
      </c>
      <c r="N24" s="172">
        <v>3</v>
      </c>
      <c r="O24" s="172">
        <v>2</v>
      </c>
      <c r="P24" s="172">
        <v>1</v>
      </c>
      <c r="Q24" s="172">
        <f t="shared" ref="Q24:Q26" si="1">SUM(N24:P24)</f>
        <v>6</v>
      </c>
      <c r="R24" s="224">
        <f t="shared" ref="R24:R26" si="2">Q24/$Q$27</f>
        <v>0.2</v>
      </c>
    </row>
    <row r="25" spans="2:18" x14ac:dyDescent="0.3">
      <c r="F25" s="181"/>
      <c r="G25" s="182" t="s">
        <v>3</v>
      </c>
      <c r="H25" s="182" t="s">
        <v>4</v>
      </c>
      <c r="I25" s="182" t="s">
        <v>5</v>
      </c>
      <c r="J25" s="183" t="s">
        <v>6</v>
      </c>
      <c r="M25" s="184" t="s">
        <v>2</v>
      </c>
      <c r="N25" s="172">
        <v>4</v>
      </c>
      <c r="O25" s="172">
        <v>1</v>
      </c>
      <c r="P25" s="172">
        <v>3</v>
      </c>
      <c r="Q25" s="172">
        <f t="shared" si="1"/>
        <v>8</v>
      </c>
      <c r="R25" s="224">
        <f t="shared" si="2"/>
        <v>0.26666666666666666</v>
      </c>
    </row>
    <row r="26" spans="2:18" x14ac:dyDescent="0.3">
      <c r="F26" s="184"/>
      <c r="G26" s="172"/>
      <c r="H26" s="172"/>
      <c r="I26" s="172"/>
      <c r="J26" s="185"/>
      <c r="M26" s="186" t="s">
        <v>107</v>
      </c>
      <c r="N26" s="223">
        <v>2</v>
      </c>
      <c r="O26" s="223">
        <v>3</v>
      </c>
      <c r="P26" s="223">
        <v>2</v>
      </c>
      <c r="Q26" s="223">
        <f t="shared" si="1"/>
        <v>7</v>
      </c>
      <c r="R26" s="225">
        <f t="shared" si="2"/>
        <v>0.23333333333333334</v>
      </c>
    </row>
    <row r="27" spans="2:18" x14ac:dyDescent="0.3">
      <c r="F27" s="186" t="s">
        <v>149</v>
      </c>
      <c r="G27" s="187">
        <f>'Dados de apoio'!H3</f>
        <v>20</v>
      </c>
      <c r="H27" s="187">
        <f>'Dados de apoio'!I3</f>
        <v>30</v>
      </c>
      <c r="I27" s="187">
        <f>'Dados de apoio'!J3</f>
        <v>500</v>
      </c>
      <c r="J27" s="188">
        <f>'Dados de apoio'!K3</f>
        <v>45</v>
      </c>
      <c r="P27" s="213" t="s">
        <v>20</v>
      </c>
      <c r="Q27" s="226">
        <f>SUM(Q23:Q26)</f>
        <v>30</v>
      </c>
      <c r="R27" s="227">
        <f>SUM(R23:R26)</f>
        <v>1</v>
      </c>
    </row>
    <row r="30" spans="2:18" x14ac:dyDescent="0.3">
      <c r="F30" s="181"/>
      <c r="G30" s="182" t="s">
        <v>3</v>
      </c>
      <c r="H30" s="202" t="s">
        <v>4</v>
      </c>
      <c r="I30" s="202" t="s">
        <v>5</v>
      </c>
      <c r="J30" s="182" t="s">
        <v>6</v>
      </c>
      <c r="K30" s="189" t="s">
        <v>20</v>
      </c>
    </row>
    <row r="31" spans="2:18" ht="20.399999999999999" customHeight="1" x14ac:dyDescent="0.3">
      <c r="F31" s="186" t="s">
        <v>153</v>
      </c>
      <c r="G31" s="203">
        <v>4000</v>
      </c>
      <c r="H31" s="203">
        <v>6000</v>
      </c>
      <c r="I31" s="203">
        <v>700</v>
      </c>
      <c r="J31" s="203">
        <v>5000</v>
      </c>
      <c r="K31" s="204">
        <f>SUM(G31:J31)</f>
        <v>15700</v>
      </c>
    </row>
    <row r="32" spans="2:18" ht="20.399999999999999" customHeight="1" x14ac:dyDescent="0.3">
      <c r="G32" s="205"/>
      <c r="H32" s="205"/>
      <c r="I32" s="205"/>
      <c r="J32" s="205"/>
      <c r="K32" s="180"/>
    </row>
    <row r="34" spans="6:11" x14ac:dyDescent="0.3">
      <c r="F34" s="181"/>
      <c r="G34" s="182" t="s">
        <v>3</v>
      </c>
      <c r="H34" s="202" t="s">
        <v>4</v>
      </c>
      <c r="I34" s="202" t="s">
        <v>5</v>
      </c>
      <c r="J34" s="182" t="s">
        <v>6</v>
      </c>
      <c r="K34" s="189" t="s">
        <v>20</v>
      </c>
    </row>
    <row r="35" spans="6:11" x14ac:dyDescent="0.3">
      <c r="F35" s="186" t="s">
        <v>154</v>
      </c>
      <c r="G35" s="203">
        <v>4000</v>
      </c>
      <c r="H35" s="203">
        <v>6000</v>
      </c>
      <c r="I35" s="203">
        <v>700</v>
      </c>
      <c r="J35" s="203">
        <v>5000</v>
      </c>
      <c r="K35" s="204">
        <f>SUM(G35:J35)</f>
        <v>15700</v>
      </c>
    </row>
    <row r="36" spans="6:11" x14ac:dyDescent="0.3">
      <c r="G36" s="205"/>
      <c r="H36" s="205"/>
      <c r="I36" s="205"/>
      <c r="J36" s="205"/>
      <c r="K36" s="180"/>
    </row>
    <row r="38" spans="6:11" x14ac:dyDescent="0.3">
      <c r="F38" s="181"/>
      <c r="G38" s="182" t="s">
        <v>3</v>
      </c>
      <c r="H38" s="202" t="s">
        <v>4</v>
      </c>
      <c r="I38" s="202" t="s">
        <v>5</v>
      </c>
      <c r="J38" s="183" t="s">
        <v>6</v>
      </c>
    </row>
    <row r="39" spans="6:11" ht="18" customHeight="1" x14ac:dyDescent="0.3">
      <c r="F39" s="186" t="s">
        <v>13</v>
      </c>
      <c r="G39" s="206">
        <v>0.12</v>
      </c>
      <c r="H39" s="206">
        <v>7.0000000000000007E-2</v>
      </c>
      <c r="I39" s="206">
        <v>0.25</v>
      </c>
      <c r="J39" s="207">
        <v>0.17</v>
      </c>
    </row>
    <row r="40" spans="6:11" ht="18" customHeight="1" x14ac:dyDescent="0.3">
      <c r="G40" s="208"/>
      <c r="H40" s="208"/>
      <c r="I40" s="208"/>
      <c r="J40" s="208"/>
    </row>
    <row r="41" spans="6:11" x14ac:dyDescent="0.3">
      <c r="K41" s="180"/>
    </row>
    <row r="42" spans="6:11" x14ac:dyDescent="0.3">
      <c r="F42" s="181"/>
      <c r="G42" s="182" t="s">
        <v>3</v>
      </c>
      <c r="H42" s="202" t="s">
        <v>4</v>
      </c>
      <c r="I42" s="202" t="s">
        <v>5</v>
      </c>
      <c r="J42" s="183" t="s">
        <v>6</v>
      </c>
      <c r="K42" s="180"/>
    </row>
    <row r="43" spans="6:11" ht="17.399999999999999" customHeight="1" x14ac:dyDescent="0.3">
      <c r="F43" s="184" t="s">
        <v>70</v>
      </c>
      <c r="G43" s="209">
        <v>0.02</v>
      </c>
      <c r="H43" s="209">
        <v>1.4999999999999999E-2</v>
      </c>
      <c r="I43" s="209">
        <v>0</v>
      </c>
      <c r="J43" s="210">
        <v>0.01</v>
      </c>
      <c r="K43" s="74"/>
    </row>
    <row r="44" spans="6:11" x14ac:dyDescent="0.3">
      <c r="F44" s="186" t="s">
        <v>129</v>
      </c>
      <c r="G44" s="211">
        <f>70%/12</f>
        <v>5.8333333333333327E-2</v>
      </c>
      <c r="H44" s="211">
        <f>10%/12</f>
        <v>8.3333333333333332E-3</v>
      </c>
      <c r="I44" s="211">
        <f>16%/12</f>
        <v>1.3333333333333334E-2</v>
      </c>
      <c r="J44" s="212">
        <f>13%/12</f>
        <v>1.0833333333333334E-2</v>
      </c>
      <c r="K44" s="177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F64447EE8B7B4987E5C70992E159CB" ma:contentTypeVersion="15" ma:contentTypeDescription="Crear nuevo documento." ma:contentTypeScope="" ma:versionID="95e0daf4b26184c4e5f14963a4870777">
  <xsd:schema xmlns:xsd="http://www.w3.org/2001/XMLSchema" xmlns:xs="http://www.w3.org/2001/XMLSchema" xmlns:p="http://schemas.microsoft.com/office/2006/metadata/properties" xmlns:ns2="7193a488-a560-4329-bfab-789f972cc689" xmlns:ns3="061485cd-6a10-43ae-8201-df7afa7e8bd5" targetNamespace="http://schemas.microsoft.com/office/2006/metadata/properties" ma:root="true" ma:fieldsID="e442329d2d3eea23bf429784638c190b" ns2:_="" ns3:_="">
    <xsd:import namespace="7193a488-a560-4329-bfab-789f972cc689"/>
    <xsd:import namespace="061485cd-6a10-43ae-8201-df7afa7e8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3a488-a560-4329-bfab-789f972cc6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9e73d8-5e95-4c28-afa1-90bb81f96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485cd-6a10-43ae-8201-df7afa7e8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781e6b5-03fd-44f1-b0d7-33c415e4a0e7}" ma:internalName="TaxCatchAll" ma:showField="CatchAllData" ma:web="061485cd-6a10-43ae-8201-df7afa7e8b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93a488-a560-4329-bfab-789f972cc689">
      <Terms xmlns="http://schemas.microsoft.com/office/infopath/2007/PartnerControls"/>
    </lcf76f155ced4ddcb4097134ff3c332f>
    <TaxCatchAll xmlns="061485cd-6a10-43ae-8201-df7afa7e8b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5798DD-EAA1-49EF-A956-C918A99CB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3a488-a560-4329-bfab-789f972cc689"/>
    <ds:schemaRef ds:uri="061485cd-6a10-43ae-8201-df7afa7e8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6771D8-3E6E-4650-A9A1-69870FFCDA17}">
  <ds:schemaRefs>
    <ds:schemaRef ds:uri="http://schemas.microsoft.com/office/2006/metadata/properties"/>
    <ds:schemaRef ds:uri="http://schemas.microsoft.com/office/infopath/2007/PartnerControls"/>
    <ds:schemaRef ds:uri="7193a488-a560-4329-bfab-789f972cc689"/>
    <ds:schemaRef ds:uri="061485cd-6a10-43ae-8201-df7afa7e8bd5"/>
  </ds:schemaRefs>
</ds:datastoreItem>
</file>

<file path=customXml/itemProps3.xml><?xml version="1.0" encoding="utf-8"?>
<ds:datastoreItem xmlns:ds="http://schemas.openxmlformats.org/officeDocument/2006/customXml" ds:itemID="{EBEF2609-158B-4811-B3A6-CE2299FF42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Rodada 1 de Venda</vt:lpstr>
      <vt:lpstr>Demais Rodadas de Venda</vt:lpstr>
      <vt:lpstr>Bretas</vt:lpstr>
      <vt:lpstr>GBarbosa</vt:lpstr>
      <vt:lpstr>Prezunic</vt:lpstr>
      <vt:lpstr>Giga</vt:lpstr>
      <vt:lpstr>Dados de apoio</vt:lpstr>
      <vt:lpstr>Resumo</vt:lpstr>
      <vt:lpstr>Dados para o 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Wanderley, Gabriel Junior Izidro</dc:creator>
  <cp:lastModifiedBy>Wanderley, Gabriel Junior Izidro</cp:lastModifiedBy>
  <dcterms:created xsi:type="dcterms:W3CDTF">2025-03-19T00:00:57Z</dcterms:created>
  <dcterms:modified xsi:type="dcterms:W3CDTF">2026-03-31T19:04:00Z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0x010100EEF64447EE8B7B4987E5C70992E159CB</vt:lpwstr>
  </property>
  <property fmtid="{D5CDD505-2E9C-101B-9397-08002B2CF9AE}" pid="3" name="MediaServiceImageTags">
    <vt:lpwstr/>
  </property>
</Properties>
</file>