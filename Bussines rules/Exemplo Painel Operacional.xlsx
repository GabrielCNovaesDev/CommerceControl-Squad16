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d\Downloads\"/>
    </mc:Choice>
  </mc:AlternateContent>
  <xr:revisionPtr revIDLastSave="1" documentId="8_{2EAAE09D-7555-4474-A5DA-0B1E9FDDE84B}" xr6:coauthVersionLast="47" xr6:coauthVersionMax="47" xr10:uidLastSave="{02ED6BBC-6B25-4BB5-984D-642CE7BD93B7}"/>
  <bookViews>
    <workbookView xWindow="-120" yWindow="-120" windowWidth="29040" windowHeight="15720" xr2:uid="{BC7CF34A-7C9B-4627-AE27-25144B19929F}"/>
  </bookViews>
  <sheets>
    <sheet name="Exemplo 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J9" i="1"/>
  <c r="L3" i="1"/>
  <c r="L7" i="1" s="1"/>
  <c r="I9" i="1" l="1"/>
  <c r="H13" i="1"/>
  <c r="H21" i="1" s="1"/>
  <c r="J13" i="1"/>
  <c r="H9" i="1"/>
  <c r="K13" i="1"/>
  <c r="C21" i="1"/>
  <c r="C9" i="1"/>
  <c r="K9" i="1"/>
  <c r="I13" i="1"/>
  <c r="K17" i="1" l="1"/>
  <c r="K21" i="1"/>
  <c r="J17" i="1"/>
  <c r="J21" i="1"/>
  <c r="I17" i="1"/>
  <c r="I21" i="1"/>
  <c r="H17" i="1"/>
  <c r="L9" i="1"/>
  <c r="C3" i="1" s="1"/>
  <c r="L13" i="1"/>
  <c r="L11" i="1"/>
  <c r="C5" i="1" s="1"/>
  <c r="L21" i="1" l="1"/>
  <c r="C17" i="1" s="1"/>
  <c r="L17" i="1"/>
  <c r="C15" i="1" s="1"/>
  <c r="C7" i="1"/>
  <c r="D5" i="1"/>
  <c r="D25" i="1" l="1"/>
  <c r="D27" i="1"/>
  <c r="D9" i="1"/>
  <c r="D17" i="1"/>
  <c r="D21" i="1"/>
  <c r="C11" i="1"/>
  <c r="C19" i="1" s="1"/>
  <c r="C29" i="1" s="1"/>
  <c r="D23" i="1"/>
  <c r="D15" i="1"/>
  <c r="C13" i="1" l="1"/>
  <c r="D19" i="1"/>
  <c r="D29" i="1" l="1"/>
</calcChain>
</file>

<file path=xl/sharedStrings.xml><?xml version="1.0" encoding="utf-8"?>
<sst xmlns="http://schemas.openxmlformats.org/spreadsheetml/2006/main" count="34" uniqueCount="34">
  <si>
    <t>EBITDA</t>
  </si>
  <si>
    <t>Manutenção Equipamentos</t>
  </si>
  <si>
    <t>Quant. Operadores Serviço</t>
  </si>
  <si>
    <t>Folha Pagamento</t>
  </si>
  <si>
    <t>Quant. Operadores Caixa</t>
  </si>
  <si>
    <t>R$ Quebras</t>
  </si>
  <si>
    <t>Quebras</t>
  </si>
  <si>
    <t>% Quebras</t>
  </si>
  <si>
    <t>Margem Líquida (PDV)</t>
  </si>
  <si>
    <t>Massa Mg Líquida R$</t>
  </si>
  <si>
    <t>R$ Impostos</t>
  </si>
  <si>
    <t>Custo Venda</t>
  </si>
  <si>
    <t>R$ Total Venda</t>
  </si>
  <si>
    <t>Total Venda Líquida</t>
  </si>
  <si>
    <t>Qtd Vendida</t>
  </si>
  <si>
    <t>Impostos</t>
  </si>
  <si>
    <t>Custo Unit</t>
  </si>
  <si>
    <t>Total de vendas</t>
  </si>
  <si>
    <t>Posição Estoque</t>
  </si>
  <si>
    <t>Total</t>
  </si>
  <si>
    <t>Hipel</t>
  </si>
  <si>
    <t>Eletro</t>
  </si>
  <si>
    <t>Mercearia</t>
  </si>
  <si>
    <t>Perecíves</t>
  </si>
  <si>
    <t>Loja</t>
  </si>
  <si>
    <t>%</t>
  </si>
  <si>
    <t>Plano Operacional</t>
  </si>
  <si>
    <t>Massa Final</t>
  </si>
  <si>
    <t>Aging</t>
  </si>
  <si>
    <t>R$ Aging</t>
  </si>
  <si>
    <t>% Aging</t>
  </si>
  <si>
    <t>Juros s/ empréstimos</t>
  </si>
  <si>
    <t>Licença de Softwares</t>
  </si>
  <si>
    <t>Total Estoque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</si>
</sst>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name val="Aptos Narrow"/>
      <family val="2"/>
      <scheme val="minor"/>
    </font>
    <font>
      <sz val="18"/>
      <color theme="3" tint="0.89999084444715716"/>
      <name val="Aptos Narrow"/>
      <family val="2"/>
      <scheme val="minor"/>
    </font>
    <font>
      <b/>
      <sz val="18"/>
      <color theme="5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4" fontId="3" fillId="2" borderId="0" xfId="2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43" fontId="3" fillId="2" borderId="0" xfId="1" applyFont="1" applyFill="1" applyAlignment="1">
      <alignment horizontal="center" vertical="center"/>
    </xf>
    <xf numFmtId="0" fontId="5" fillId="2" borderId="0" xfId="0" applyFont="1" applyFill="1"/>
    <xf numFmtId="0" fontId="2" fillId="2" borderId="0" xfId="0" applyFont="1" applyFill="1"/>
    <xf numFmtId="43" fontId="5" fillId="2" borderId="0" xfId="1" applyFont="1" applyFill="1"/>
    <xf numFmtId="0" fontId="2" fillId="2" borderId="0" xfId="0" applyFont="1" applyFill="1" applyAlignment="1">
      <alignment horizontal="left" vertical="center" indent="4"/>
    </xf>
    <xf numFmtId="43" fontId="2" fillId="0" borderId="0" xfId="0" applyNumberFormat="1" applyFont="1"/>
    <xf numFmtId="0" fontId="4" fillId="3" borderId="0" xfId="0" applyFont="1" applyFill="1" applyAlignment="1">
      <alignment horizontal="center"/>
    </xf>
    <xf numFmtId="0" fontId="4" fillId="2" borderId="0" xfId="0" applyFont="1" applyFill="1"/>
    <xf numFmtId="43" fontId="5" fillId="2" borderId="0" xfId="0" applyNumberFormat="1" applyFont="1" applyFill="1"/>
    <xf numFmtId="43" fontId="3" fillId="2" borderId="0" xfId="0" applyNumberFormat="1" applyFont="1" applyFill="1"/>
    <xf numFmtId="43" fontId="4" fillId="2" borderId="0" xfId="0" applyNumberFormat="1" applyFont="1" applyFill="1"/>
    <xf numFmtId="43" fontId="4" fillId="2" borderId="0" xfId="1" applyFont="1" applyFill="1" applyAlignment="1">
      <alignment horizontal="center"/>
    </xf>
    <xf numFmtId="43" fontId="5" fillId="2" borderId="0" xfId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9" fontId="2" fillId="0" borderId="0" xfId="0" applyNumberFormat="1" applyFont="1"/>
    <xf numFmtId="43" fontId="3" fillId="2" borderId="0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26DE-81B0-4555-829B-AF086F91CF8A}">
  <dimension ref="B1:L30"/>
  <sheetViews>
    <sheetView showGridLines="0" tabSelected="1" zoomScale="80" zoomScaleNormal="80" workbookViewId="0">
      <selection activeCell="C29" sqref="C29"/>
    </sheetView>
  </sheetViews>
  <sheetFormatPr defaultColWidth="8.85546875" defaultRowHeight="24" x14ac:dyDescent="0.4"/>
  <cols>
    <col min="1" max="1" width="8.85546875" style="1"/>
    <col min="2" max="2" width="43.85546875" style="1" customWidth="1"/>
    <col min="3" max="3" width="26.85546875" style="1" customWidth="1"/>
    <col min="4" max="4" width="11.28515625" style="1" customWidth="1"/>
    <col min="5" max="6" width="8.85546875" style="1"/>
    <col min="7" max="7" width="39.28515625" style="1" bestFit="1" customWidth="1"/>
    <col min="8" max="8" width="28.42578125" style="1" bestFit="1" customWidth="1"/>
    <col min="9" max="9" width="21.140625" style="1" bestFit="1" customWidth="1"/>
    <col min="10" max="11" width="18.5703125" style="1" bestFit="1" customWidth="1"/>
    <col min="12" max="12" width="19.140625" style="1" customWidth="1"/>
    <col min="13" max="16384" width="8.85546875" style="1"/>
  </cols>
  <sheetData>
    <row r="1" spans="2:12" ht="12" customHeight="1" thickBot="1" x14ac:dyDescent="0.45"/>
    <row r="2" spans="2:12" ht="24.75" thickBot="1" x14ac:dyDescent="0.45">
      <c r="B2" s="30" t="s">
        <v>26</v>
      </c>
      <c r="C2" s="31"/>
      <c r="D2" s="29" t="s">
        <v>25</v>
      </c>
      <c r="G2" s="29" t="s">
        <v>24</v>
      </c>
      <c r="H2" s="28" t="s">
        <v>23</v>
      </c>
      <c r="I2" s="27" t="s">
        <v>22</v>
      </c>
      <c r="J2" s="27" t="s">
        <v>21</v>
      </c>
      <c r="K2" s="27" t="s">
        <v>20</v>
      </c>
      <c r="L2" s="27" t="s">
        <v>19</v>
      </c>
    </row>
    <row r="3" spans="2:12" x14ac:dyDescent="0.4">
      <c r="B3" s="26" t="s">
        <v>17</v>
      </c>
      <c r="C3" s="25">
        <f>L9</f>
        <v>249900</v>
      </c>
      <c r="D3" s="2"/>
      <c r="G3" s="11" t="s">
        <v>18</v>
      </c>
      <c r="H3" s="6">
        <v>2000</v>
      </c>
      <c r="I3" s="6">
        <v>2500</v>
      </c>
      <c r="J3" s="6">
        <v>800</v>
      </c>
      <c r="K3" s="6">
        <v>2500</v>
      </c>
      <c r="L3" s="6">
        <f>SUM(H3:K3)</f>
        <v>7800</v>
      </c>
    </row>
    <row r="4" spans="2:12" ht="10.15" customHeight="1" x14ac:dyDescent="0.4">
      <c r="B4" s="3"/>
      <c r="C4" s="23"/>
      <c r="D4" s="2"/>
    </row>
    <row r="5" spans="2:12" x14ac:dyDescent="0.4">
      <c r="B5" s="8" t="s">
        <v>15</v>
      </c>
      <c r="C5" s="23">
        <f>-L11</f>
        <v>-10656</v>
      </c>
      <c r="D5" s="2">
        <f>C5/$C$3</f>
        <v>-4.2641056422569025E-2</v>
      </c>
      <c r="G5" s="11" t="s">
        <v>16</v>
      </c>
      <c r="H5" s="24">
        <v>20</v>
      </c>
      <c r="I5" s="24">
        <v>30</v>
      </c>
      <c r="J5" s="24">
        <v>500</v>
      </c>
      <c r="K5" s="24">
        <v>45</v>
      </c>
      <c r="L5" s="6"/>
    </row>
    <row r="6" spans="2:12" ht="10.15" customHeight="1" x14ac:dyDescent="0.4">
      <c r="B6" s="18"/>
      <c r="C6" s="23"/>
      <c r="D6" s="2"/>
    </row>
    <row r="7" spans="2:12" x14ac:dyDescent="0.4">
      <c r="B7" s="3" t="s">
        <v>13</v>
      </c>
      <c r="C7" s="4">
        <f>C3+C5</f>
        <v>239244</v>
      </c>
      <c r="D7" s="2"/>
      <c r="G7" s="11" t="s">
        <v>14</v>
      </c>
      <c r="H7" s="6">
        <v>1600</v>
      </c>
      <c r="I7" s="6">
        <f>I3*0.3</f>
        <v>750</v>
      </c>
      <c r="J7" s="6">
        <f>J3*0.3</f>
        <v>240</v>
      </c>
      <c r="K7" s="6">
        <f>K3*0.3</f>
        <v>750</v>
      </c>
      <c r="L7" s="6">
        <f>L3*0.2</f>
        <v>1560</v>
      </c>
    </row>
    <row r="8" spans="2:12" ht="9" customHeight="1" x14ac:dyDescent="0.4">
      <c r="B8" s="18"/>
      <c r="C8" s="22"/>
      <c r="D8" s="2"/>
    </row>
    <row r="9" spans="2:12" x14ac:dyDescent="0.4">
      <c r="B9" s="8" t="s">
        <v>11</v>
      </c>
      <c r="C9" s="16">
        <f>-((H5*H7)+(I5*I7)+(J5*J7)+(K5*K7))</f>
        <v>-208250</v>
      </c>
      <c r="D9" s="2">
        <f>C9/$C$7</f>
        <v>-0.87045025162595513</v>
      </c>
      <c r="G9" s="11" t="s">
        <v>12</v>
      </c>
      <c r="H9" s="15">
        <f>H7*H5*1.2</f>
        <v>38400</v>
      </c>
      <c r="I9" s="15">
        <f>I7*I5*1.2</f>
        <v>27000</v>
      </c>
      <c r="J9" s="15">
        <f>J7*J5*1.2</f>
        <v>144000</v>
      </c>
      <c r="K9" s="15">
        <f>K7*K5*1.2</f>
        <v>40500</v>
      </c>
      <c r="L9" s="14">
        <f>SUM(H9:K9)</f>
        <v>249900</v>
      </c>
    </row>
    <row r="10" spans="2:12" ht="10.15" customHeight="1" x14ac:dyDescent="0.4">
      <c r="B10" s="18"/>
      <c r="C10" s="21"/>
      <c r="D10" s="2"/>
    </row>
    <row r="11" spans="2:12" x14ac:dyDescent="0.4">
      <c r="B11" s="3" t="s">
        <v>9</v>
      </c>
      <c r="C11" s="20">
        <f>C7+C9</f>
        <v>30994</v>
      </c>
      <c r="D11" s="2"/>
      <c r="G11" s="11" t="s">
        <v>10</v>
      </c>
      <c r="H11" s="15">
        <v>3456</v>
      </c>
      <c r="I11" s="15">
        <v>1800</v>
      </c>
      <c r="J11" s="15">
        <v>0</v>
      </c>
      <c r="K11" s="15">
        <v>5400</v>
      </c>
      <c r="L11" s="14">
        <f>SUM(H11:K11)</f>
        <v>10656</v>
      </c>
    </row>
    <row r="12" spans="2:12" ht="10.15" customHeight="1" x14ac:dyDescent="0.4">
      <c r="B12" s="18"/>
      <c r="C12" s="17"/>
      <c r="D12" s="2"/>
    </row>
    <row r="13" spans="2:12" x14ac:dyDescent="0.4">
      <c r="B13" s="3" t="s">
        <v>8</v>
      </c>
      <c r="C13" s="2">
        <f>IFERROR(C11/C7,0)</f>
        <v>0.1295497483740449</v>
      </c>
      <c r="D13" s="2"/>
      <c r="G13" s="11" t="s">
        <v>33</v>
      </c>
      <c r="H13" s="15">
        <f>H3*H5-H7</f>
        <v>38400</v>
      </c>
      <c r="I13" s="15">
        <f>I3*I5-I7</f>
        <v>74250</v>
      </c>
      <c r="J13" s="15">
        <f>J3*J5-J7</f>
        <v>399760</v>
      </c>
      <c r="K13" s="15">
        <f>K3*K5-K7</f>
        <v>111750</v>
      </c>
      <c r="L13" s="14">
        <f>SUM(H13:K13)</f>
        <v>624160</v>
      </c>
    </row>
    <row r="14" spans="2:12" ht="10.15" customHeight="1" x14ac:dyDescent="0.4">
      <c r="B14" s="18"/>
      <c r="C14" s="17"/>
      <c r="D14" s="2"/>
    </row>
    <row r="15" spans="2:12" x14ac:dyDescent="0.4">
      <c r="B15" s="8" t="s">
        <v>6</v>
      </c>
      <c r="C15" s="16">
        <f>-L17</f>
        <v>-2999.25</v>
      </c>
      <c r="D15" s="2">
        <f>C15/$C$7</f>
        <v>-1.253636454832723E-2</v>
      </c>
      <c r="G15" s="1" t="s">
        <v>7</v>
      </c>
      <c r="H15" s="19">
        <v>0.02</v>
      </c>
      <c r="I15" s="19">
        <v>1.4999999999999999E-2</v>
      </c>
      <c r="J15" s="19">
        <v>0</v>
      </c>
      <c r="K15" s="19">
        <v>0.01</v>
      </c>
    </row>
    <row r="16" spans="2:12" ht="10.15" customHeight="1" x14ac:dyDescent="0.4">
      <c r="B16" s="6"/>
      <c r="C16" s="5"/>
      <c r="D16" s="2"/>
    </row>
    <row r="17" spans="2:12" x14ac:dyDescent="0.4">
      <c r="B17" s="8" t="s">
        <v>28</v>
      </c>
      <c r="C17" s="16">
        <f>-L21</f>
        <v>-9399.5083333333332</v>
      </c>
      <c r="D17" s="2">
        <f>C17/$C$7</f>
        <v>-3.9288376441345793E-2</v>
      </c>
      <c r="G17" s="11" t="s">
        <v>5</v>
      </c>
      <c r="H17" s="15">
        <f>H13*H15</f>
        <v>768</v>
      </c>
      <c r="I17" s="15">
        <f>I13*I15</f>
        <v>1113.75</v>
      </c>
      <c r="J17" s="15">
        <f>J13*J15</f>
        <v>0</v>
      </c>
      <c r="K17" s="15">
        <f>K13*K15</f>
        <v>1117.5</v>
      </c>
      <c r="L17" s="14">
        <f>SUM(H17:K17)</f>
        <v>2999.25</v>
      </c>
    </row>
    <row r="18" spans="2:12" ht="10.15" customHeight="1" x14ac:dyDescent="0.4">
      <c r="B18" s="6"/>
      <c r="C18" s="5"/>
      <c r="D18" s="2"/>
    </row>
    <row r="19" spans="2:12" x14ac:dyDescent="0.4">
      <c r="B19" s="11" t="s">
        <v>27</v>
      </c>
      <c r="C19" s="13">
        <f>C11+C15+C17</f>
        <v>18595.241666666669</v>
      </c>
      <c r="D19" s="2">
        <f>C19/$C$7</f>
        <v>7.7725007384371894E-2</v>
      </c>
      <c r="G19" s="1" t="s">
        <v>30</v>
      </c>
      <c r="H19" s="19">
        <v>5.8333333333333327E-2</v>
      </c>
      <c r="I19" s="19">
        <v>8.3333333333333332E-3</v>
      </c>
      <c r="J19" s="19">
        <v>1.3333333333333334E-2</v>
      </c>
      <c r="K19" s="19">
        <v>1.0833333333333334E-2</v>
      </c>
    </row>
    <row r="20" spans="2:12" ht="10.15" customHeight="1" x14ac:dyDescent="0.4">
      <c r="B20" s="6"/>
      <c r="C20" s="5"/>
      <c r="D20" s="2"/>
    </row>
    <row r="21" spans="2:12" x14ac:dyDescent="0.4">
      <c r="B21" s="8" t="s">
        <v>3</v>
      </c>
      <c r="C21" s="12">
        <f>-(I23+I25)</f>
        <v>-16000</v>
      </c>
      <c r="D21" s="2">
        <f>C21/$C$7</f>
        <v>-6.6877330256976147E-2</v>
      </c>
      <c r="G21" s="11" t="s">
        <v>29</v>
      </c>
      <c r="H21" s="15">
        <f>H13*H19</f>
        <v>2239.9999999999995</v>
      </c>
      <c r="I21" s="15">
        <f>I13*I19</f>
        <v>618.75</v>
      </c>
      <c r="J21" s="15">
        <f>J13*J19</f>
        <v>5330.1333333333341</v>
      </c>
      <c r="K21" s="15">
        <f>K13*K19</f>
        <v>1210.625</v>
      </c>
      <c r="L21" s="14">
        <f>SUM(H21:K21)</f>
        <v>9399.5083333333332</v>
      </c>
    </row>
    <row r="22" spans="2:12" ht="10.15" customHeight="1" x14ac:dyDescent="0.4">
      <c r="B22" s="6"/>
      <c r="C22" s="5"/>
      <c r="D22" s="2"/>
    </row>
    <row r="23" spans="2:12" x14ac:dyDescent="0.4">
      <c r="B23" s="8" t="s">
        <v>1</v>
      </c>
      <c r="C23" s="7">
        <v>-400</v>
      </c>
      <c r="D23" s="2">
        <f>C23/$C$7</f>
        <v>-1.6719332564244036E-3</v>
      </c>
      <c r="G23" s="11" t="s">
        <v>4</v>
      </c>
      <c r="H23" s="10">
        <v>10</v>
      </c>
      <c r="I23" s="9">
        <v>10000</v>
      </c>
    </row>
    <row r="24" spans="2:12" ht="10.15" customHeight="1" x14ac:dyDescent="0.4">
      <c r="B24" s="6"/>
      <c r="C24" s="5"/>
      <c r="D24" s="2"/>
    </row>
    <row r="25" spans="2:12" x14ac:dyDescent="0.4">
      <c r="B25" s="8" t="s">
        <v>31</v>
      </c>
      <c r="C25" s="7">
        <v>0</v>
      </c>
      <c r="D25" s="2">
        <f>C25/$C$7</f>
        <v>0</v>
      </c>
      <c r="G25" s="11" t="s">
        <v>2</v>
      </c>
      <c r="H25" s="10">
        <v>5</v>
      </c>
      <c r="I25" s="9">
        <v>6000</v>
      </c>
    </row>
    <row r="26" spans="2:12" ht="10.15" customHeight="1" x14ac:dyDescent="0.4">
      <c r="B26" s="8"/>
      <c r="C26" s="7"/>
      <c r="D26" s="2"/>
    </row>
    <row r="27" spans="2:12" x14ac:dyDescent="0.4">
      <c r="B27" s="8" t="s">
        <v>32</v>
      </c>
      <c r="C27" s="7">
        <v>-2080</v>
      </c>
      <c r="D27" s="2">
        <f>C27/$C$7</f>
        <v>-8.6940529334068976E-3</v>
      </c>
    </row>
    <row r="28" spans="2:12" ht="10.9" customHeight="1" x14ac:dyDescent="0.4">
      <c r="B28" s="6"/>
      <c r="C28" s="5"/>
      <c r="D28" s="2"/>
    </row>
    <row r="29" spans="2:12" x14ac:dyDescent="0.4">
      <c r="B29" s="3" t="s">
        <v>0</v>
      </c>
      <c r="C29" s="4">
        <f>SUM(C19:C27)</f>
        <v>115.24166666666861</v>
      </c>
      <c r="D29" s="2">
        <f>C29/$C$7</f>
        <v>4.816909375644472E-4</v>
      </c>
    </row>
    <row r="30" spans="2:12" ht="10.15" customHeight="1" x14ac:dyDescent="0.4"/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93a488-a560-4329-bfab-789f972cc689">
      <Terms xmlns="http://schemas.microsoft.com/office/infopath/2007/PartnerControls"/>
    </lcf76f155ced4ddcb4097134ff3c332f>
    <TaxCatchAll xmlns="061485cd-6a10-43ae-8201-df7afa7e8b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F64447EE8B7B4987E5C70992E159CB" ma:contentTypeVersion="16" ma:contentTypeDescription="Crear nuevo documento." ma:contentTypeScope="" ma:versionID="a1e826a247bc78241596dfa495f64fce">
  <xsd:schema xmlns:xsd="http://www.w3.org/2001/XMLSchema" xmlns:xs="http://www.w3.org/2001/XMLSchema" xmlns:p="http://schemas.microsoft.com/office/2006/metadata/properties" xmlns:ns2="7193a488-a560-4329-bfab-789f972cc689" xmlns:ns3="061485cd-6a10-43ae-8201-df7afa7e8bd5" targetNamespace="http://schemas.microsoft.com/office/2006/metadata/properties" ma:root="true" ma:fieldsID="32e0e5b670a264075bfc1e042e30c459" ns2:_="" ns3:_="">
    <xsd:import namespace="7193a488-a560-4329-bfab-789f972cc689"/>
    <xsd:import namespace="061485cd-6a10-43ae-8201-df7afa7e8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3a488-a560-4329-bfab-789f972cc6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9e73d8-5e95-4c28-afa1-90bb81f96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485cd-6a10-43ae-8201-df7afa7e8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781e6b5-03fd-44f1-b0d7-33c415e4a0e7}" ma:internalName="TaxCatchAll" ma:showField="CatchAllData" ma:web="061485cd-6a10-43ae-8201-df7afa7e8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ADA380-FAD7-40B3-ACF5-75A6711B1DA1}">
  <ds:schemaRefs>
    <ds:schemaRef ds:uri="http://schemas.microsoft.com/office/2006/metadata/properties"/>
    <ds:schemaRef ds:uri="http://schemas.microsoft.com/office/infopath/2007/PartnerControls"/>
    <ds:schemaRef ds:uri="7193a488-a560-4329-bfab-789f972cc689"/>
    <ds:schemaRef ds:uri="061485cd-6a10-43ae-8201-df7afa7e8bd5"/>
  </ds:schemaRefs>
</ds:datastoreItem>
</file>

<file path=customXml/itemProps2.xml><?xml version="1.0" encoding="utf-8"?>
<ds:datastoreItem xmlns:ds="http://schemas.openxmlformats.org/officeDocument/2006/customXml" ds:itemID="{431F8D22-B825-4288-A71C-6F9B60240F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EBA8D-07BF-42F7-8026-B5864074F1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3a488-a560-4329-bfab-789f972cc689"/>
    <ds:schemaRef ds:uri="061485cd-6a10-43ae-8201-df7afa7e8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Wanderley, Gabriel Junior Izidro</dc:creator>
  <cp:lastModifiedBy>gabriel henrique</cp:lastModifiedBy>
  <dcterms:created xsi:type="dcterms:W3CDTF">2025-04-13T14:42:19Z</dcterms:created>
  <dcterms:modified xsi:type="dcterms:W3CDTF">2026-04-27T22:36:29Z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0x010100EEF64447EE8B7B4987E5C70992E159CB</vt:lpwstr>
  </property>
  <property fmtid="{D5CDD505-2E9C-101B-9397-08002B2CF9AE}" pid="3" name="MediaServiceImageTags">
    <vt:lpwstr/>
  </property>
</Properties>
</file>